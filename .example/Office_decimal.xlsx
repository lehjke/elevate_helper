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Спецификации\ELEVATE\Meteor\"/>
    </mc:Choice>
  </mc:AlternateContent>
  <bookViews>
    <workbookView xWindow="0" yWindow="0" windowWidth="23040" windowHeight="9192" activeTab="1"/>
  </bookViews>
  <sheets>
    <sheet name="Титул" sheetId="5" r:id="rId1"/>
    <sheet name="Оценка" sheetId="8" r:id="rId2"/>
    <sheet name="Лифтовая группа" sheetId="9" r:id="rId3"/>
    <sheet name="Здание" sheetId="3" r:id="rId4"/>
    <sheet name="Пассажиропоток" sheetId="1" r:id="rId5"/>
    <sheet name="Критерии" sheetId="10" r:id="rId6"/>
  </sheets>
  <definedNames>
    <definedName name="_xlnm.Print_Titles" localSheetId="3">Здание!$2:$3</definedName>
    <definedName name="_xlnm.Print_Titles" localSheetId="5">Критерии!#REF!</definedName>
    <definedName name="_xlnm.Print_Titles" localSheetId="2">'Лифтовая группа'!$2:$15</definedName>
    <definedName name="_xlnm.Print_Titles" localSheetId="4">Пассажиропоток!$2:$4</definedName>
    <definedName name="_xlnm.Print_Area" localSheetId="3">Здание!$B$2:$H$5</definedName>
    <definedName name="_xlnm.Print_Area" localSheetId="5">Критерии!$B$2:$O$22</definedName>
    <definedName name="_xlnm.Print_Area" localSheetId="2">'Лифтовая группа'!$B$2:$J$16</definedName>
    <definedName name="_xlnm.Print_Area" localSheetId="1">Оценка!$B$2:$O$47</definedName>
    <definedName name="_xlnm.Print_Area" localSheetId="4">Пассажиропоток!$B$2:$Q$5</definedName>
    <definedName name="_xlnm.Print_Area" localSheetId="0">Титул!$B$2:$H$49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3" i="8" l="1"/>
  <c r="AM13" i="8"/>
  <c r="AK13" i="8"/>
  <c r="AI13" i="8"/>
  <c r="AG13" i="8"/>
  <c r="AE13" i="8"/>
  <c r="AC13" i="8"/>
  <c r="AA13" i="8"/>
  <c r="Y13" i="8"/>
  <c r="W13" i="8"/>
  <c r="U13" i="8"/>
  <c r="S13" i="8"/>
  <c r="AO11" i="8"/>
  <c r="AM11" i="8"/>
  <c r="AK11" i="8"/>
  <c r="AI11" i="8"/>
  <c r="AG11" i="8"/>
  <c r="AE11" i="8"/>
  <c r="AC11" i="8"/>
  <c r="AA11" i="8"/>
  <c r="Y11" i="8"/>
  <c r="W11" i="8"/>
  <c r="U11" i="8"/>
  <c r="S11" i="8"/>
  <c r="AO9" i="8"/>
  <c r="AM9" i="8"/>
  <c r="AK9" i="8"/>
  <c r="AI9" i="8"/>
  <c r="AG9" i="8"/>
  <c r="AE9" i="8"/>
  <c r="AC9" i="8"/>
  <c r="AA9" i="8"/>
  <c r="Y9" i="8"/>
  <c r="W9" i="8"/>
  <c r="U9" i="8"/>
  <c r="S9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S16" i="8"/>
  <c r="AO7" i="8"/>
  <c r="AM7" i="8"/>
  <c r="AK7" i="8"/>
  <c r="AI7" i="8"/>
  <c r="AG7" i="8"/>
  <c r="AE7" i="8"/>
  <c r="AC7" i="8"/>
  <c r="AA7" i="8"/>
  <c r="Y7" i="8"/>
  <c r="W7" i="8"/>
  <c r="U7" i="8"/>
  <c r="S7" i="8"/>
  <c r="T16" i="8"/>
  <c r="D43" i="8" l="1"/>
  <c r="E43" i="8"/>
  <c r="F43" i="8"/>
  <c r="G43" i="8"/>
  <c r="H43" i="8"/>
  <c r="I43" i="8"/>
  <c r="J43" i="8"/>
  <c r="K43" i="8"/>
  <c r="L43" i="8"/>
  <c r="M43" i="8"/>
  <c r="N43" i="8"/>
  <c r="O43" i="8"/>
  <c r="C43" i="8"/>
  <c r="D42" i="8"/>
  <c r="E42" i="8"/>
  <c r="F42" i="8"/>
  <c r="G42" i="8"/>
  <c r="H42" i="8"/>
  <c r="I42" i="8"/>
  <c r="J42" i="8"/>
  <c r="K42" i="8"/>
  <c r="L42" i="8"/>
  <c r="M42" i="8"/>
  <c r="N42" i="8"/>
  <c r="O42" i="8"/>
  <c r="C42" i="8"/>
  <c r="D41" i="8" l="1"/>
  <c r="E41" i="8"/>
  <c r="F41" i="8"/>
  <c r="G41" i="8"/>
  <c r="H41" i="8"/>
  <c r="I41" i="8"/>
  <c r="J41" i="8"/>
  <c r="K41" i="8"/>
  <c r="L41" i="8"/>
  <c r="M41" i="8"/>
  <c r="N41" i="8"/>
  <c r="O41" i="8"/>
  <c r="D40" i="8"/>
  <c r="E40" i="8"/>
  <c r="F40" i="8"/>
  <c r="G40" i="8"/>
  <c r="H40" i="8"/>
  <c r="I40" i="8"/>
  <c r="J40" i="8"/>
  <c r="K40" i="8"/>
  <c r="L40" i="8"/>
  <c r="M40" i="8"/>
  <c r="N40" i="8"/>
  <c r="O40" i="8"/>
  <c r="C41" i="8" l="1"/>
  <c r="C40" i="8"/>
</calcChain>
</file>

<file path=xl/sharedStrings.xml><?xml version="1.0" encoding="utf-8"?>
<sst xmlns="http://schemas.openxmlformats.org/spreadsheetml/2006/main" count="89" uniqueCount="69">
  <si>
    <t>→</t>
  </si>
  <si>
    <t>←</t>
  </si>
  <si>
    <t>Этаж</t>
  </si>
  <si>
    <t>Высота, м</t>
  </si>
  <si>
    <t>Назначение</t>
  </si>
  <si>
    <t>Население</t>
  </si>
  <si>
    <t>Итог</t>
  </si>
  <si>
    <t>Коэф.
присутствия</t>
  </si>
  <si>
    <t># лифта</t>
  </si>
  <si>
    <t>Грузоподъемность, кг</t>
  </si>
  <si>
    <t>Скорость, м/с</t>
  </si>
  <si>
    <t>Ускорение, м/с2</t>
  </si>
  <si>
    <t>Время пре-открывания дверей, с</t>
  </si>
  <si>
    <t>Время открытия двери, с</t>
  </si>
  <si>
    <t>Время закрытия двери, с</t>
  </si>
  <si>
    <t>Обслуживаемые этажи</t>
  </si>
  <si>
    <t>Параметры оборудования</t>
  </si>
  <si>
    <t>HC5, %</t>
  </si>
  <si>
    <t>Высотная
отметка, м</t>
  </si>
  <si>
    <t>Анализ пассажиропотока</t>
  </si>
  <si>
    <t>Версия отчета:</t>
  </si>
  <si>
    <t xml:space="preserve">Адрес объекта: </t>
  </si>
  <si>
    <t>Параметры здания</t>
  </si>
  <si>
    <t>Параметры лифтовой группы</t>
  </si>
  <si>
    <t>Record</t>
  </si>
  <si>
    <t xml:space="preserve">Объект: </t>
  </si>
  <si>
    <t>Задержка пуска, с</t>
  </si>
  <si>
    <t>Время задержки световой завесы, с</t>
  </si>
  <si>
    <t>Параметры пассажиропотока</t>
  </si>
  <si>
    <t>Рывок, м/с3</t>
  </si>
  <si>
    <t>‒</t>
  </si>
  <si>
    <t>●</t>
  </si>
  <si>
    <t>IS, шт.</t>
  </si>
  <si>
    <t>LW, %</t>
  </si>
  <si>
    <t>Провозная способность HC5, %</t>
  </si>
  <si>
    <t>Оценка</t>
  </si>
  <si>
    <t>★★★★★</t>
  </si>
  <si>
    <t>Тип пассажиро-потока</t>
  </si>
  <si>
    <t>Назначение здания</t>
  </si>
  <si>
    <t>Офис</t>
  </si>
  <si>
    <t>Гостиница</t>
  </si>
  <si>
    <t>45%, 45%, 10%</t>
  </si>
  <si>
    <t>50%, 50%, 0%</t>
  </si>
  <si>
    <t>Оценка качества обслуживания</t>
  </si>
  <si>
    <t>WT, с</t>
  </si>
  <si>
    <t>TTD, с</t>
  </si>
  <si>
    <t>Долгое ожидание
LW, %</t>
  </si>
  <si>
    <r>
      <rPr>
        <b/>
        <sz val="11"/>
        <color rgb="FF0A2751"/>
        <rFont val="Calibri"/>
        <family val="2"/>
        <charset val="204"/>
        <scheme val="minor"/>
      </rPr>
      <t>Провозная способность (HC5)</t>
    </r>
    <r>
      <rPr>
        <sz val="11"/>
        <color rgb="FF0A2751"/>
        <rFont val="Calibri"/>
        <family val="2"/>
        <charset val="204"/>
        <scheme val="minor"/>
      </rPr>
      <t>: количество пассажиров, которое лифтовая система может перевезти за пять минут, обычно в часы пик с коэффициентом загрузки 80%. Провозная способность указывается в процентах от общего населения здания.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</si>
  <si>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ожидания (WT)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лифт, прибывший на посадку, начинает открывать двери на этаже.</t>
    </r>
  </si>
  <si>
    <r>
      <rPr>
        <b/>
        <sz val="11"/>
        <color rgb="FF0A2751"/>
        <rFont val="Calibri"/>
        <family val="2"/>
        <charset val="204"/>
        <scheme val="minor"/>
      </rPr>
      <t>Долгое ожидание (LW):</t>
    </r>
    <r>
      <rPr>
        <sz val="11"/>
        <color rgb="FF0A2751"/>
        <rFont val="Calibri"/>
        <family val="2"/>
        <charset val="204"/>
        <scheme val="minor"/>
      </rPr>
      <t xml:space="preserve">  Процент пассажиров, для которых время ожидания сотавляет более 90 секунд.</t>
    </r>
  </si>
  <si>
    <t>Target WT</t>
  </si>
  <si>
    <t>Dot WT, с</t>
  </si>
  <si>
    <t>Dot TTD, с</t>
  </si>
  <si>
    <t>Dot IS, шт.</t>
  </si>
  <si>
    <t>Dot LW, %</t>
  </si>
  <si>
    <t>★★★✰✰</t>
  </si>
  <si>
    <t>★★★★✰</t>
  </si>
  <si>
    <t>★✰✰✰✰</t>
  </si>
  <si>
    <t>★★✰✰✰</t>
  </si>
  <si>
    <t>Критерии оценки качества обслуживания</t>
  </si>
  <si>
    <t>100%, 0%, 0%</t>
  </si>
  <si>
    <t>Жилье</t>
  </si>
  <si>
    <t>Параметры обслуживания</t>
  </si>
  <si>
    <t>Средн. время ожидания
WT, с</t>
  </si>
  <si>
    <t>Средн. время поездки
TTD, с</t>
  </si>
  <si>
    <t>Средн. кол-во остановок
IS, шт.</t>
  </si>
  <si>
    <r>
      <rPr>
        <sz val="14"/>
        <color rgb="FF0A2751"/>
        <rFont val="Calibri"/>
        <family val="2"/>
        <charset val="204"/>
        <scheme val="minor"/>
      </rPr>
      <t>Примечание</t>
    </r>
    <r>
      <rPr>
        <sz val="11"/>
        <color rgb="FF0A2751"/>
        <rFont val="Calibri"/>
        <family val="2"/>
        <charset val="204"/>
        <scheme val="minor"/>
      </rPr>
      <t xml:space="preserve">
Результаты отчета действительны при исследовании теоретических сценариев движения вертикального транспорта с использованием оборудования, сервисов и инструментов планирования пассажиропотока METEOR Lift. Результаты отчета зависят от значений параметров работы оборудования, используемых в качестве исходных данных, и применимы только совместно с ними.
Результаты не следует интерпретировать как заявление или гарантию работоспособности какой-либо фактической системы вертикального транспорта. METEOR Lift ни при каких обстоятельствах не несёт ответственности за любой ущерб, причиненный или понесенный в связи с использованием результатов отчета. Запрещено копировать, воспроизводить или изменять результаты отчета, а также передавать их третьим лицам.
</t>
    </r>
  </si>
  <si>
    <r>
      <rPr>
        <b/>
        <sz val="11"/>
        <color rgb="FF0A2751"/>
        <rFont val="Calibri"/>
        <family val="2"/>
        <charset val="204"/>
        <scheme val="minor"/>
      </rPr>
      <t>Среднее время поездки (TTD)</t>
    </r>
    <r>
      <rPr>
        <sz val="11"/>
        <color rgb="FF0A2751"/>
        <rFont val="Calibri"/>
        <family val="2"/>
        <charset val="204"/>
        <scheme val="minor"/>
      </rPr>
      <t>: Время с момента, когда пассажир регистрирует вызов на посадку или присоединяется к очереди, до момента, когда обслуживающий лифт начинает открывать двери на этаже назначения.</t>
    </r>
  </si>
  <si>
    <r>
      <rPr>
        <b/>
        <sz val="11"/>
        <color rgb="FF0A2751"/>
        <rFont val="Calibri"/>
        <family val="2"/>
        <charset val="204"/>
        <scheme val="minor"/>
      </rPr>
      <t>Среднее количество остановок (IS)</t>
    </r>
    <r>
      <rPr>
        <sz val="11"/>
        <color rgb="FF0A2751"/>
        <rFont val="Calibri"/>
        <family val="2"/>
        <charset val="204"/>
        <scheme val="minor"/>
      </rPr>
      <t>: Количество промежуточных остановок лифта за время кругового рейса (время, затрачиваемое лифтом на движение от основного посадочного этажа до возвращения на этот этаж).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</si>
</sst>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1"/>
      <color rgb="FF0A2751"/>
      <name val="Calibri"/>
      <family val="2"/>
      <charset val="204"/>
      <scheme val="minor"/>
    </font>
    <font>
      <sz val="30"/>
      <color rgb="FF0A2751"/>
      <name val="Calibri"/>
      <family val="2"/>
      <charset val="204"/>
      <scheme val="minor"/>
    </font>
    <font>
      <sz val="14"/>
      <color rgb="FF0A2751"/>
      <name val="Calibri"/>
      <family val="2"/>
      <charset val="204"/>
      <scheme val="minor"/>
    </font>
    <font>
      <b/>
      <sz val="11"/>
      <color rgb="FF0A275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A275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2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0" fillId="2" borderId="0" xfId="0" applyFill="1" applyBorder="1" applyAlignment="1">
      <alignment horizontal="left" indent="1"/>
    </xf>
    <xf numFmtId="2" fontId="0" fillId="2" borderId="0" xfId="0" applyNumberFormat="1" applyFill="1" applyBorder="1"/>
    <xf numFmtId="165" fontId="0" fillId="2" borderId="0" xfId="0" applyNumberFormat="1" applyFill="1" applyBorder="1"/>
    <xf numFmtId="0" fontId="2" fillId="3" borderId="0" xfId="0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1" fontId="2" fillId="0" borderId="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3" borderId="0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0" fontId="2" fillId="2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/>
    </xf>
    <xf numFmtId="0" fontId="0" fillId="2" borderId="0" xfId="0" applyNumberFormat="1" applyFill="1"/>
    <xf numFmtId="1" fontId="2" fillId="0" borderId="0" xfId="0" applyNumberFormat="1" applyFont="1" applyBorder="1" applyAlignment="1">
      <alignment horizontal="center" vertical="center"/>
    </xf>
    <xf numFmtId="0" fontId="0" fillId="2" borderId="0" xfId="0" applyFill="1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justify" vertical="top" wrapText="1"/>
    </xf>
    <xf numFmtId="0" fontId="1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justify" vertical="justify" wrapText="1"/>
    </xf>
    <xf numFmtId="0" fontId="4" fillId="3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A27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ожидания (</a:t>
            </a:r>
            <a:r>
              <a:rPr lang="en-US" baseline="0"/>
              <a:t>WT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Target WT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Оценка!$R$6:$AP$6</c:f>
              <c:numCache>
                <c:formatCode>0.0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Оценка!$R$16:$AP$16</c:f>
              <c:numCache>
                <c:formatCode>0</c:formatCode>
                <c:ptCount val="2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D-4806-95E7-95F537A40E2F}"/>
            </c:ext>
          </c:extLst>
        </c:ser>
        <c:ser>
          <c:idx val="1"/>
          <c:order val="1"/>
          <c:tx>
            <c:v>WT</c:v>
          </c:tx>
          <c:spPr>
            <a:ln cmpd="sng">
              <a:solidFill>
                <a:srgbClr val="0A2751"/>
              </a:solidFill>
              <a:headEnd type="none"/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dPt>
            <c:idx val="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391-4D71-ACBC-880BA50E3AC0}"/>
              </c:ext>
            </c:extLst>
          </c:dPt>
          <c:dPt>
            <c:idx val="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391-4D71-ACBC-880BA50E3AC0}"/>
              </c:ext>
            </c:extLst>
          </c:dPt>
          <c:dPt>
            <c:idx val="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391-4D71-ACBC-880BA50E3AC0}"/>
              </c:ext>
            </c:extLst>
          </c:dPt>
          <c:dPt>
            <c:idx val="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391-4D71-ACBC-880BA50E3AC0}"/>
              </c:ext>
            </c:extLst>
          </c:dPt>
          <c:dPt>
            <c:idx val="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391-4D71-ACBC-880BA50E3AC0}"/>
              </c:ext>
            </c:extLst>
          </c:dPt>
          <c:dPt>
            <c:idx val="1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391-4D71-ACBC-880BA50E3AC0}"/>
              </c:ext>
            </c:extLst>
          </c:dPt>
          <c:dPt>
            <c:idx val="1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391-4D71-ACBC-880BA50E3AC0}"/>
              </c:ext>
            </c:extLst>
          </c:dPt>
          <c:dPt>
            <c:idx val="1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391-4D71-ACBC-880BA50E3AC0}"/>
              </c:ext>
            </c:extLst>
          </c:dPt>
          <c:dPt>
            <c:idx val="1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391-4D71-ACBC-880BA50E3AC0}"/>
              </c:ext>
            </c:extLst>
          </c:dPt>
          <c:dPt>
            <c:idx val="1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391-4D71-ACBC-880BA50E3AC0}"/>
              </c:ext>
            </c:extLst>
          </c:dPt>
          <c:dPt>
            <c:idx val="2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391-4D71-ACBC-880BA50E3AC0}"/>
              </c:ext>
            </c:extLst>
          </c:dPt>
          <c:cat>
            <c:numRef>
              <c:f>Оценка!$R$6:$AP$6</c:f>
              <c:numCache>
                <c:formatCode>0.0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Оценка!$R$7:$AP$7</c:f>
              <c:numCache>
                <c:formatCode>0.0</c:formatCode>
                <c:ptCount val="25"/>
                <c:pt idx="0">
                  <c:v>1</c:v>
                </c:pt>
                <c:pt idx="1">
                  <c:v>2.2000000000000002</c:v>
                </c:pt>
                <c:pt idx="2">
                  <c:v>3.4</c:v>
                </c:pt>
                <c:pt idx="3">
                  <c:v>4.8499999999999996</c:v>
                </c:pt>
                <c:pt idx="4">
                  <c:v>6.3</c:v>
                </c:pt>
                <c:pt idx="5">
                  <c:v>8.4499999999999993</c:v>
                </c:pt>
                <c:pt idx="6">
                  <c:v>10.6</c:v>
                </c:pt>
                <c:pt idx="7">
                  <c:v>11.95</c:v>
                </c:pt>
                <c:pt idx="8">
                  <c:v>13.3</c:v>
                </c:pt>
                <c:pt idx="9">
                  <c:v>14.3</c:v>
                </c:pt>
                <c:pt idx="10">
                  <c:v>15.3</c:v>
                </c:pt>
                <c:pt idx="11">
                  <c:v>16.25</c:v>
                </c:pt>
                <c:pt idx="12">
                  <c:v>17.2</c:v>
                </c:pt>
                <c:pt idx="13">
                  <c:v>18.25</c:v>
                </c:pt>
                <c:pt idx="14">
                  <c:v>19.3</c:v>
                </c:pt>
                <c:pt idx="15">
                  <c:v>19.899999999999999</c:v>
                </c:pt>
                <c:pt idx="16">
                  <c:v>20.5</c:v>
                </c:pt>
                <c:pt idx="17">
                  <c:v>20.85</c:v>
                </c:pt>
                <c:pt idx="18">
                  <c:v>21.2</c:v>
                </c:pt>
                <c:pt idx="19">
                  <c:v>21.95</c:v>
                </c:pt>
                <c:pt idx="20">
                  <c:v>22.7</c:v>
                </c:pt>
                <c:pt idx="21">
                  <c:v>24.35</c:v>
                </c:pt>
                <c:pt idx="22">
                  <c:v>26</c:v>
                </c:pt>
                <c:pt idx="23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CD-4806-95E7-95F537A40E2F}"/>
            </c:ext>
          </c:extLst>
        </c:ser>
        <c:ser>
          <c:idx val="2"/>
          <c:order val="2"/>
          <c:tx>
            <c:v>Dot WT</c:v>
          </c:tx>
          <c:spPr>
            <a:ln>
              <a:solidFill>
                <a:srgbClr val="0A2751"/>
              </a:solidFill>
              <a:prstDash val="dash"/>
              <a:round/>
            </a:ln>
          </c:spPr>
          <c:marker>
            <c:symbol val="none"/>
          </c:marker>
          <c:dPt>
            <c:idx val="24"/>
            <c:bubble3D val="0"/>
            <c:spPr>
              <a:ln>
                <a:solidFill>
                  <a:srgbClr val="0A2751"/>
                </a:solidFill>
                <a:prstDash val="sysDash"/>
                <a:round/>
              </a:ln>
            </c:spPr>
            <c:extLst>
              <c:ext xmlns:c16="http://schemas.microsoft.com/office/drawing/2014/chart" uri="{C3380CC4-5D6E-409C-BE32-E72D297353CC}">
                <c16:uniqueId val="{0000000B-2391-4D71-ACBC-880BA50E3AC0}"/>
              </c:ext>
            </c:extLst>
          </c:dPt>
          <c:cat>
            <c:numRef>
              <c:f>Оценка!$R$6:$AP$6</c:f>
              <c:numCache>
                <c:formatCode>0.0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Оценка!$R$8:$AP$8</c:f>
              <c:numCache>
                <c:formatCode>0.0</c:formatCode>
                <c:ptCount val="25"/>
                <c:pt idx="23">
                  <c:v>53</c:v>
                </c:pt>
                <c:pt idx="24">
                  <c:v>1000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7CD-4806-95E7-95F537A40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13951555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ожидания </a:t>
                </a:r>
                <a:r>
                  <a:rPr lang="en-US"/>
                  <a:t>WT,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At val="1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время поездки</a:t>
            </a:r>
            <a:r>
              <a:rPr lang="en-US" baseline="0"/>
              <a:t> </a:t>
            </a:r>
            <a:r>
              <a:rPr lang="ru-RU" baseline="0"/>
              <a:t>(</a:t>
            </a:r>
            <a:r>
              <a:rPr lang="en-US" baseline="0"/>
              <a:t>TTD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TTD</c:v>
          </c:tx>
          <c:spPr>
            <a:ln w="19050"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dPt>
            <c:idx val="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9DF-4E27-A3E2-23EB12D43638}"/>
              </c:ext>
            </c:extLst>
          </c:dPt>
          <c:dPt>
            <c:idx val="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9DF-4E27-A3E2-23EB12D43638}"/>
              </c:ext>
            </c:extLst>
          </c:dPt>
          <c:dPt>
            <c:idx val="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9DF-4E27-A3E2-23EB12D43638}"/>
              </c:ext>
            </c:extLst>
          </c:dPt>
          <c:dPt>
            <c:idx val="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9DF-4E27-A3E2-23EB12D43638}"/>
              </c:ext>
            </c:extLst>
          </c:dPt>
          <c:dPt>
            <c:idx val="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9DF-4E27-A3E2-23EB12D43638}"/>
              </c:ext>
            </c:extLst>
          </c:dPt>
          <c:dPt>
            <c:idx val="1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9DF-4E27-A3E2-23EB12D43638}"/>
              </c:ext>
            </c:extLst>
          </c:dPt>
          <c:dPt>
            <c:idx val="1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9DF-4E27-A3E2-23EB12D43638}"/>
              </c:ext>
            </c:extLst>
          </c:dPt>
          <c:dPt>
            <c:idx val="1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9DF-4E27-A3E2-23EB12D43638}"/>
              </c:ext>
            </c:extLst>
          </c:dPt>
          <c:dPt>
            <c:idx val="1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9DF-4E27-A3E2-23EB12D43638}"/>
              </c:ext>
            </c:extLst>
          </c:dPt>
          <c:dPt>
            <c:idx val="1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9DF-4E27-A3E2-23EB12D43638}"/>
              </c:ext>
            </c:extLst>
          </c:dPt>
          <c:dPt>
            <c:idx val="2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B9DF-4E27-A3E2-23EB12D43638}"/>
              </c:ext>
            </c:extLst>
          </c:dPt>
          <c:cat>
            <c:numRef>
              <c:f>Оценка!$R$6:$AP$6</c:f>
              <c:numCache>
                <c:formatCode>General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Оценка!$R$9:$AP$9</c:f>
              <c:numCache>
                <c:formatCode>General</c:formatCode>
                <c:ptCount val="25"/>
                <c:pt idx="0">
                  <c:v>20.7</c:v>
                </c:pt>
                <c:pt idx="1">
                  <c:v>22.5</c:v>
                </c:pt>
                <c:pt idx="2">
                  <c:v>24.3</c:v>
                </c:pt>
                <c:pt idx="3">
                  <c:v>27.200000000000003</c:v>
                </c:pt>
                <c:pt idx="4">
                  <c:v>30.1</c:v>
                </c:pt>
                <c:pt idx="5">
                  <c:v>34.299999999999997</c:v>
                </c:pt>
                <c:pt idx="6">
                  <c:v>38.5</c:v>
                </c:pt>
                <c:pt idx="7">
                  <c:v>42.1</c:v>
                </c:pt>
                <c:pt idx="8">
                  <c:v>45.7</c:v>
                </c:pt>
                <c:pt idx="9">
                  <c:v>48.95</c:v>
                </c:pt>
                <c:pt idx="10">
                  <c:v>52.2</c:v>
                </c:pt>
                <c:pt idx="11">
                  <c:v>54.75</c:v>
                </c:pt>
                <c:pt idx="12">
                  <c:v>57.3</c:v>
                </c:pt>
                <c:pt idx="13">
                  <c:v>59.4</c:v>
                </c:pt>
                <c:pt idx="14">
                  <c:v>61.5</c:v>
                </c:pt>
                <c:pt idx="15">
                  <c:v>64.3</c:v>
                </c:pt>
                <c:pt idx="16">
                  <c:v>67.099999999999994</c:v>
                </c:pt>
                <c:pt idx="17">
                  <c:v>69.199999999999989</c:v>
                </c:pt>
                <c:pt idx="18">
                  <c:v>71.3</c:v>
                </c:pt>
                <c:pt idx="19">
                  <c:v>72.449999999999989</c:v>
                </c:pt>
                <c:pt idx="20">
                  <c:v>73.599999999999994</c:v>
                </c:pt>
                <c:pt idx="21">
                  <c:v>76.650000000000006</c:v>
                </c:pt>
                <c:pt idx="22">
                  <c:v>79.7</c:v>
                </c:pt>
                <c:pt idx="23">
                  <c:v>119.85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6F-44D1-B4E5-9227B98851B5}"/>
            </c:ext>
          </c:extLst>
        </c:ser>
        <c:ser>
          <c:idx val="2"/>
          <c:order val="1"/>
          <c:tx>
            <c:v>Dot TTD</c:v>
          </c:tx>
          <c:spPr>
            <a:ln>
              <a:solidFill>
                <a:srgbClr val="0A2751"/>
              </a:solidFill>
              <a:prstDash val="dash"/>
            </a:ln>
          </c:spPr>
          <c:marker>
            <c:symbol val="none"/>
          </c:marker>
          <c:dPt>
            <c:idx val="24"/>
            <c:bubble3D val="0"/>
            <c:spPr>
              <a:ln>
                <a:solidFill>
                  <a:srgbClr val="0A2751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B-B9DF-4E27-A3E2-23EB12D43638}"/>
              </c:ext>
            </c:extLst>
          </c:dPt>
          <c:cat>
            <c:numRef>
              <c:f>Оценка!$R$6:$AP$6</c:f>
              <c:numCache>
                <c:formatCode>General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Оценка!$R$10:$AP$10</c:f>
              <c:numCache>
                <c:formatCode>General</c:formatCode>
                <c:ptCount val="25"/>
                <c:pt idx="23">
                  <c:v>119.9</c:v>
                </c:pt>
                <c:pt idx="24">
                  <c:v>1000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06F-44D1-B4E5-9227B9885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1395155599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время поездки </a:t>
                </a:r>
                <a:r>
                  <a:rPr lang="en-US"/>
                  <a:t>TTD, </a:t>
                </a:r>
                <a:r>
                  <a:rPr lang="ru-RU"/>
                  <a:t>с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Среднее</a:t>
            </a:r>
            <a:r>
              <a:rPr lang="ru-RU" baseline="0"/>
              <a:t> кол-во остановок (</a:t>
            </a:r>
            <a:r>
              <a:rPr lang="en-US" baseline="0"/>
              <a:t>IS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IS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dPt>
            <c:idx val="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404-4888-8AD7-C6098526661F}"/>
              </c:ext>
            </c:extLst>
          </c:dPt>
          <c:dPt>
            <c:idx val="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404-4888-8AD7-C6098526661F}"/>
              </c:ext>
            </c:extLst>
          </c:dPt>
          <c:dPt>
            <c:idx val="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404-4888-8AD7-C6098526661F}"/>
              </c:ext>
            </c:extLst>
          </c:dPt>
          <c:dPt>
            <c:idx val="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404-4888-8AD7-C6098526661F}"/>
              </c:ext>
            </c:extLst>
          </c:dPt>
          <c:dPt>
            <c:idx val="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404-4888-8AD7-C6098526661F}"/>
              </c:ext>
            </c:extLst>
          </c:dPt>
          <c:dPt>
            <c:idx val="1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404-4888-8AD7-C6098526661F}"/>
              </c:ext>
            </c:extLst>
          </c:dPt>
          <c:dPt>
            <c:idx val="1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404-4888-8AD7-C6098526661F}"/>
              </c:ext>
            </c:extLst>
          </c:dPt>
          <c:dPt>
            <c:idx val="1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404-4888-8AD7-C6098526661F}"/>
              </c:ext>
            </c:extLst>
          </c:dPt>
          <c:dPt>
            <c:idx val="1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404-4888-8AD7-C6098526661F}"/>
              </c:ext>
            </c:extLst>
          </c:dPt>
          <c:dPt>
            <c:idx val="1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404-4888-8AD7-C6098526661F}"/>
              </c:ext>
            </c:extLst>
          </c:dPt>
          <c:dPt>
            <c:idx val="2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404-4888-8AD7-C6098526661F}"/>
              </c:ext>
            </c:extLst>
          </c:dPt>
          <c:cat>
            <c:numRef>
              <c:f>Оценка!$R$6:$AP$6</c:f>
              <c:numCache>
                <c:formatCode>0.0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Оценка!$R$11:$AP$11</c:f>
              <c:numCache>
                <c:formatCode>0.0</c:formatCode>
                <c:ptCount val="25"/>
                <c:pt idx="0">
                  <c:v>0.12478517113717086</c:v>
                </c:pt>
                <c:pt idx="1">
                  <c:v>0.16506913487801825</c:v>
                </c:pt>
                <c:pt idx="2">
                  <c:v>0.20535309861886564</c:v>
                </c:pt>
                <c:pt idx="3">
                  <c:v>0.41833521852123923</c:v>
                </c:pt>
                <c:pt idx="4">
                  <c:v>0.63131733842361282</c:v>
                </c:pt>
                <c:pt idx="5">
                  <c:v>0.92729548326752176</c:v>
                </c:pt>
                <c:pt idx="6">
                  <c:v>1.2232736281114307</c:v>
                </c:pt>
                <c:pt idx="7">
                  <c:v>1.5331236159801087</c:v>
                </c:pt>
                <c:pt idx="8">
                  <c:v>1.8429736038487867</c:v>
                </c:pt>
                <c:pt idx="9">
                  <c:v>2.1181492021286941</c:v>
                </c:pt>
                <c:pt idx="10">
                  <c:v>2.3933248004086014</c:v>
                </c:pt>
                <c:pt idx="11">
                  <c:v>2.6058577257894231</c:v>
                </c:pt>
                <c:pt idx="12">
                  <c:v>2.8183906511702448</c:v>
                </c:pt>
                <c:pt idx="13">
                  <c:v>2.9608905696448922</c:v>
                </c:pt>
                <c:pt idx="14">
                  <c:v>3.1033904881195395</c:v>
                </c:pt>
                <c:pt idx="15">
                  <c:v>3.1890450149841509</c:v>
                </c:pt>
                <c:pt idx="16">
                  <c:v>3.2746995418487623</c:v>
                </c:pt>
                <c:pt idx="17">
                  <c:v>3.3372742417026902</c:v>
                </c:pt>
                <c:pt idx="18">
                  <c:v>3.399848941556618</c:v>
                </c:pt>
                <c:pt idx="19">
                  <c:v>3.4936873283024612</c:v>
                </c:pt>
                <c:pt idx="20">
                  <c:v>3.5875257150483044</c:v>
                </c:pt>
                <c:pt idx="21">
                  <c:v>3.7875492518918703</c:v>
                </c:pt>
                <c:pt idx="22">
                  <c:v>3.9875727887354362</c:v>
                </c:pt>
                <c:pt idx="23">
                  <c:v>9.9937863943677172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8A-445E-A299-6E7DF71F1930}"/>
            </c:ext>
          </c:extLst>
        </c:ser>
        <c:ser>
          <c:idx val="2"/>
          <c:order val="1"/>
          <c:tx>
            <c:v>Dot IS</c:v>
          </c:tx>
          <c:spPr>
            <a:ln>
              <a:solidFill>
                <a:srgbClr val="0A2751"/>
              </a:solidFill>
              <a:prstDash val="sysDash"/>
            </a:ln>
          </c:spPr>
          <c:marker>
            <c:symbol val="none"/>
          </c:marker>
          <c:cat>
            <c:numRef>
              <c:f>Оценка!$R$6:$AP$6</c:f>
              <c:numCache>
                <c:formatCode>0.0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Оценка!$R$12:$AP$12</c:f>
              <c:numCache>
                <c:formatCode>0.0</c:formatCode>
                <c:ptCount val="25"/>
                <c:pt idx="23">
                  <c:v>10</c:v>
                </c:pt>
                <c:pt idx="24">
                  <c:v>1000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F8A-445E-A299-6E7DF71F1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1395155599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 кол-во остановок</a:t>
                </a:r>
                <a:r>
                  <a:rPr lang="en-US"/>
                  <a:t> IS, </a:t>
                </a:r>
                <a:r>
                  <a:rPr lang="ru-RU"/>
                  <a:t>шт.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Долгое ожидание</a:t>
            </a:r>
          </a:p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baseline="0"/>
              <a:t>(</a:t>
            </a:r>
            <a:r>
              <a:rPr lang="en-US" baseline="0"/>
              <a:t>LW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LW</c:v>
          </c:tx>
          <c:spPr>
            <a:ln>
              <a:solidFill>
                <a:srgbClr val="0A2751"/>
              </a:solidFill>
            </a:ln>
          </c:spPr>
          <c:marker>
            <c:symbol val="diamond"/>
            <c:size val="10"/>
            <c:spPr>
              <a:noFill/>
              <a:ln w="19050">
                <a:solidFill>
                  <a:srgbClr val="0A2751"/>
                </a:solidFill>
              </a:ln>
            </c:spPr>
          </c:marker>
          <c:dPt>
            <c:idx val="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ACB-4BB0-A21D-F505BCEBCD8A}"/>
              </c:ext>
            </c:extLst>
          </c:dPt>
          <c:dPt>
            <c:idx val="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ACB-4BB0-A21D-F505BCEBCD8A}"/>
              </c:ext>
            </c:extLst>
          </c:dPt>
          <c:dPt>
            <c:idx val="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ACB-4BB0-A21D-F505BCEBCD8A}"/>
              </c:ext>
            </c:extLst>
          </c:dPt>
          <c:dPt>
            <c:idx val="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ACB-4BB0-A21D-F505BCEBCD8A}"/>
              </c:ext>
            </c:extLst>
          </c:dPt>
          <c:dPt>
            <c:idx val="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ACB-4BB0-A21D-F505BCEBCD8A}"/>
              </c:ext>
            </c:extLst>
          </c:dPt>
          <c:dPt>
            <c:idx val="1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ACB-4BB0-A21D-F505BCEBCD8A}"/>
              </c:ext>
            </c:extLst>
          </c:dPt>
          <c:dPt>
            <c:idx val="13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ACB-4BB0-A21D-F505BCEBCD8A}"/>
              </c:ext>
            </c:extLst>
          </c:dPt>
          <c:dPt>
            <c:idx val="15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ACB-4BB0-A21D-F505BCEBCD8A}"/>
              </c:ext>
            </c:extLst>
          </c:dPt>
          <c:dPt>
            <c:idx val="17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ACB-4BB0-A21D-F505BCEBCD8A}"/>
              </c:ext>
            </c:extLst>
          </c:dPt>
          <c:dPt>
            <c:idx val="19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ACB-4BB0-A21D-F505BCEBCD8A}"/>
              </c:ext>
            </c:extLst>
          </c:dPt>
          <c:dPt>
            <c:idx val="21"/>
            <c:marker>
              <c:spPr>
                <a:noFill/>
                <a:ln w="19050"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ACB-4BB0-A21D-F505BCEBCD8A}"/>
              </c:ext>
            </c:extLst>
          </c:dPt>
          <c:cat>
            <c:numRef>
              <c:f>Оценка!$R$6:$AP$6</c:f>
              <c:numCache>
                <c:formatCode>0.0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Оценка!$R$13:$AP$13</c:f>
              <c:numCache>
                <c:formatCode>0.0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0.53511624259041213</c:v>
                </c:pt>
                <c:pt idx="14">
                  <c:v>1.0702324851808243</c:v>
                </c:pt>
                <c:pt idx="15">
                  <c:v>1.1178732386812733</c:v>
                </c:pt>
                <c:pt idx="16">
                  <c:v>1.1655139921817224</c:v>
                </c:pt>
                <c:pt idx="17">
                  <c:v>1.1882011349201216</c:v>
                </c:pt>
                <c:pt idx="18">
                  <c:v>1.2108882776585208</c:v>
                </c:pt>
                <c:pt idx="19">
                  <c:v>1.4158346680435132</c:v>
                </c:pt>
                <c:pt idx="20">
                  <c:v>1.6207810584285056</c:v>
                </c:pt>
                <c:pt idx="21">
                  <c:v>4.2080984999673134</c:v>
                </c:pt>
                <c:pt idx="22">
                  <c:v>6.7954159415061213</c:v>
                </c:pt>
                <c:pt idx="23">
                  <c:v>19.397707970753061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91-4C80-A7CA-024C204ECDCA}"/>
            </c:ext>
          </c:extLst>
        </c:ser>
        <c:ser>
          <c:idx val="2"/>
          <c:order val="1"/>
          <c:tx>
            <c:v>Dot LW</c:v>
          </c:tx>
          <c:spPr>
            <a:ln>
              <a:solidFill>
                <a:srgbClr val="0A2751"/>
              </a:solidFill>
              <a:prstDash val="sysDash"/>
            </a:ln>
          </c:spPr>
          <c:marker>
            <c:symbol val="none"/>
          </c:marker>
          <c:cat>
            <c:numRef>
              <c:f>Оценка!$R$6:$AP$6</c:f>
              <c:numCache>
                <c:formatCode>0.0</c:formatCode>
                <c:ptCount val="25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cat>
          <c:val>
            <c:numRef>
              <c:f>Оценка!$R$14:$AP$14</c:f>
              <c:numCache>
                <c:formatCode>0.0</c:formatCode>
                <c:ptCount val="25"/>
                <c:pt idx="23">
                  <c:v>19.399999999999999</c:v>
                </c:pt>
                <c:pt idx="24">
                  <c:v>1000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191-4C80-A7CA-024C204EC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66415"/>
        <c:axId val="1395155599"/>
        <c:extLst/>
      </c:lineChart>
      <c:catAx>
        <c:axId val="139516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Провозная способность </a:t>
                </a:r>
                <a:r>
                  <a:rPr lang="en-US"/>
                  <a:t>HC5,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55599"/>
        <c:crosses val="autoZero"/>
        <c:auto val="1"/>
        <c:lblAlgn val="ctr"/>
        <c:lblOffset val="100"/>
        <c:tickLblSkip val="2"/>
        <c:tickMarkSkip val="2"/>
        <c:noMultiLvlLbl val="1"/>
      </c:catAx>
      <c:valAx>
        <c:axId val="1395155599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Долгое ожидание </a:t>
                </a:r>
                <a:r>
                  <a:rPr lang="en-US"/>
                  <a:t>LW,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5166415"/>
        <c:crosses val="autoZero"/>
        <c:crossBetween val="midCat"/>
        <c:majorUnit val="4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9355A.5C96DD6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45</xdr:row>
      <xdr:rowOff>0</xdr:rowOff>
    </xdr:from>
    <xdr:to>
      <xdr:col>5</xdr:col>
      <xdr:colOff>658860</xdr:colOff>
      <xdr:row>46</xdr:row>
      <xdr:rowOff>124216</xdr:rowOff>
    </xdr:to>
    <xdr:pic>
      <xdr:nvPicPr>
        <xdr:cNvPr id="10" name="Рисунок 9" descr="cid:image002.png@01D9355A.5C96DD60"/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9022080"/>
          <a:ext cx="2182860" cy="307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838200</xdr:colOff>
      <xdr:row>2</xdr:row>
      <xdr:rowOff>45720</xdr:rowOff>
    </xdr:from>
    <xdr:to>
      <xdr:col>6</xdr:col>
      <xdr:colOff>262440</xdr:colOff>
      <xdr:row>19</xdr:row>
      <xdr:rowOff>144728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080" y="609600"/>
          <a:ext cx="3600000" cy="3207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693419</xdr:colOff>
      <xdr:row>5</xdr:row>
      <xdr:rowOff>1</xdr:rowOff>
    </xdr:from>
    <xdr:to>
      <xdr:col>7</xdr:col>
      <xdr:colOff>408239</xdr:colOff>
      <xdr:row>20</xdr:row>
      <xdr:rowOff>136801</xdr:rowOff>
    </xdr:to>
    <xdr:graphicFrame macro="">
      <xdr:nvGraphicFramePr>
        <xdr:cNvPr id="7" name="WT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14</xdr:col>
      <xdr:colOff>408240</xdr:colOff>
      <xdr:row>20</xdr:row>
      <xdr:rowOff>136800</xdr:rowOff>
    </xdr:to>
    <xdr:graphicFrame macro="">
      <xdr:nvGraphicFramePr>
        <xdr:cNvPr id="9" name="TTD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7</xdr:col>
      <xdr:colOff>408240</xdr:colOff>
      <xdr:row>36</xdr:row>
      <xdr:rowOff>136800</xdr:rowOff>
    </xdr:to>
    <xdr:graphicFrame macro="">
      <xdr:nvGraphicFramePr>
        <xdr:cNvPr id="12" name="IS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14</xdr:col>
      <xdr:colOff>408240</xdr:colOff>
      <xdr:row>36</xdr:row>
      <xdr:rowOff>136800</xdr:rowOff>
    </xdr:to>
    <xdr:graphicFrame macro="">
      <xdr:nvGraphicFramePr>
        <xdr:cNvPr id="13" name="LW">
          <a:extLst>
            <a:ext uri="{FF2B5EF4-FFF2-40B4-BE49-F238E27FC236}">
              <a16:creationId xmlns:a16="http://schemas.microsoft.com/office/drawing/2014/main" id="{1A97C443-99FC-4DF4-8554-2673C1DD9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B2:H49"/>
  <sheetViews>
    <sheetView zoomScaleNormal="100" zoomScaleSheetLayoutView="100" workbookViewId="0"/>
  </sheetViews>
  <sheetFormatPr defaultColWidth="7.44140625" defaultRowHeight="14.4" x14ac:dyDescent="0.3"/>
  <cols>
    <col min="1" max="1" width="7.44140625" style="1"/>
    <col min="2" max="2" width="6.33203125" style="1" customWidth="1"/>
    <col min="3" max="7" width="15.21875" style="1" customWidth="1"/>
    <col min="8" max="8" width="6.33203125" style="1" customWidth="1"/>
    <col min="9" max="16384" width="7.44140625" style="1"/>
  </cols>
  <sheetData>
    <row r="2" spans="2:8" ht="30" customHeight="1" x14ac:dyDescent="0.3">
      <c r="B2" s="44"/>
      <c r="C2" s="44"/>
      <c r="D2" s="44"/>
      <c r="E2" s="44"/>
      <c r="F2" s="44"/>
      <c r="G2" s="44"/>
      <c r="H2" s="44"/>
    </row>
    <row r="3" spans="2:8" x14ac:dyDescent="0.3">
      <c r="B3" s="4"/>
      <c r="C3" s="4"/>
      <c r="D3" s="4"/>
      <c r="E3" s="4"/>
      <c r="F3" s="4"/>
      <c r="G3" s="4"/>
      <c r="H3" s="4"/>
    </row>
    <row r="4" spans="2:8" x14ac:dyDescent="0.3">
      <c r="B4" s="4"/>
      <c r="C4" s="4"/>
      <c r="D4" s="4"/>
      <c r="E4" s="4"/>
      <c r="F4" s="4"/>
      <c r="G4" s="4"/>
      <c r="H4" s="4"/>
    </row>
    <row r="5" spans="2:8" x14ac:dyDescent="0.3">
      <c r="B5" s="4"/>
      <c r="C5" s="4"/>
      <c r="D5" s="4"/>
      <c r="E5" s="4"/>
      <c r="F5" s="4"/>
      <c r="G5" s="4"/>
      <c r="H5" s="4"/>
    </row>
    <row r="6" spans="2:8" x14ac:dyDescent="0.3">
      <c r="B6" s="4"/>
      <c r="C6" s="4"/>
      <c r="D6" s="4"/>
      <c r="E6" s="4"/>
      <c r="F6" s="4"/>
      <c r="G6" s="4"/>
      <c r="H6" s="4"/>
    </row>
    <row r="7" spans="2:8" x14ac:dyDescent="0.3">
      <c r="B7" s="4"/>
      <c r="C7" s="4"/>
      <c r="D7" s="4"/>
      <c r="E7" s="4"/>
      <c r="F7" s="4"/>
      <c r="G7" s="4"/>
      <c r="H7" s="4"/>
    </row>
    <row r="8" spans="2:8" x14ac:dyDescent="0.3">
      <c r="B8" s="4"/>
      <c r="C8" s="4"/>
      <c r="D8" s="4"/>
      <c r="E8" s="4"/>
      <c r="F8" s="4"/>
      <c r="G8" s="4"/>
      <c r="H8" s="4"/>
    </row>
    <row r="9" spans="2:8" x14ac:dyDescent="0.3">
      <c r="B9" s="4"/>
      <c r="C9" s="4"/>
      <c r="D9" s="4"/>
      <c r="E9" s="4"/>
      <c r="F9" s="4"/>
      <c r="G9" s="4"/>
      <c r="H9" s="4"/>
    </row>
    <row r="10" spans="2:8" x14ac:dyDescent="0.3">
      <c r="B10" s="4"/>
      <c r="C10" s="4"/>
      <c r="D10" s="4"/>
      <c r="E10" s="4"/>
      <c r="F10" s="4"/>
      <c r="G10" s="4"/>
      <c r="H10" s="4"/>
    </row>
    <row r="11" spans="2:8" x14ac:dyDescent="0.3">
      <c r="B11" s="4"/>
      <c r="C11" s="4"/>
      <c r="D11" s="4"/>
      <c r="E11" s="4"/>
      <c r="F11" s="4"/>
      <c r="G11" s="4"/>
      <c r="H11" s="4"/>
    </row>
    <row r="12" spans="2:8" x14ac:dyDescent="0.3">
      <c r="B12" s="4"/>
      <c r="C12" s="4"/>
      <c r="D12" s="4"/>
      <c r="E12" s="4"/>
      <c r="F12" s="4"/>
      <c r="G12" s="4"/>
      <c r="H12" s="4"/>
    </row>
    <row r="13" spans="2:8" x14ac:dyDescent="0.3">
      <c r="B13" s="4"/>
      <c r="C13" s="4"/>
      <c r="D13" s="4"/>
      <c r="E13" s="4"/>
      <c r="F13" s="4"/>
      <c r="G13" s="4"/>
      <c r="H13" s="4"/>
    </row>
    <row r="14" spans="2:8" x14ac:dyDescent="0.3">
      <c r="B14" s="4"/>
      <c r="C14" s="4"/>
      <c r="D14" s="4"/>
      <c r="E14" s="4"/>
      <c r="F14" s="4"/>
      <c r="G14" s="4"/>
      <c r="H14" s="4"/>
    </row>
    <row r="15" spans="2:8" x14ac:dyDescent="0.3">
      <c r="B15" s="4"/>
      <c r="C15" s="4"/>
      <c r="D15" s="4"/>
      <c r="E15" s="4"/>
      <c r="F15" s="4"/>
      <c r="G15" s="4"/>
      <c r="H15" s="4"/>
    </row>
    <row r="16" spans="2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  <row r="18" spans="2:8" x14ac:dyDescent="0.3">
      <c r="B18" s="4"/>
      <c r="C18" s="4"/>
      <c r="D18" s="4"/>
      <c r="E18" s="4"/>
      <c r="F18" s="4"/>
      <c r="G18" s="4"/>
      <c r="H18" s="4"/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/>
      <c r="C20" s="4"/>
      <c r="D20" s="4"/>
      <c r="E20" s="4"/>
      <c r="F20" s="4"/>
      <c r="G20" s="4"/>
      <c r="H20" s="4"/>
    </row>
    <row r="21" spans="2:8" ht="30" customHeight="1" x14ac:dyDescent="0.3">
      <c r="B21" s="44"/>
      <c r="C21" s="44"/>
      <c r="D21" s="44"/>
      <c r="E21" s="44"/>
      <c r="F21" s="44"/>
      <c r="G21" s="44"/>
      <c r="H21" s="44"/>
    </row>
    <row r="22" spans="2:8" ht="30" customHeight="1" x14ac:dyDescent="0.3">
      <c r="B22" s="45" t="s">
        <v>19</v>
      </c>
      <c r="C22" s="45"/>
      <c r="D22" s="45"/>
      <c r="E22" s="45"/>
      <c r="F22" s="45"/>
      <c r="G22" s="45"/>
      <c r="H22" s="45"/>
    </row>
    <row r="23" spans="2:8" ht="30" customHeight="1" x14ac:dyDescent="0.3">
      <c r="B23" s="44"/>
      <c r="C23" s="44"/>
      <c r="D23" s="44"/>
      <c r="E23" s="44"/>
      <c r="F23" s="44"/>
      <c r="G23" s="44"/>
      <c r="H23" s="44"/>
    </row>
    <row r="24" spans="2:8" ht="14.4" customHeight="1" x14ac:dyDescent="0.3">
      <c r="B24" s="4"/>
      <c r="C24" s="5"/>
      <c r="D24" s="5" t="s">
        <v>25</v>
      </c>
      <c r="E24" s="5"/>
      <c r="F24" s="5"/>
      <c r="G24" s="5"/>
      <c r="H24" s="4"/>
    </row>
    <row r="25" spans="2:8" x14ac:dyDescent="0.3">
      <c r="B25" s="4"/>
      <c r="C25" s="4"/>
      <c r="D25" s="4"/>
      <c r="E25" s="4"/>
      <c r="F25" s="4"/>
      <c r="G25" s="4"/>
      <c r="H25" s="4"/>
    </row>
    <row r="26" spans="2:8" x14ac:dyDescent="0.3">
      <c r="B26" s="4"/>
      <c r="C26" s="5"/>
      <c r="D26" s="5" t="s">
        <v>21</v>
      </c>
      <c r="E26" s="5"/>
      <c r="F26" s="5"/>
      <c r="G26" s="5"/>
      <c r="H26" s="4"/>
    </row>
    <row r="27" spans="2:8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4"/>
      <c r="C28" s="4"/>
      <c r="D28" s="5" t="s">
        <v>20</v>
      </c>
      <c r="E28" s="5"/>
      <c r="F28" s="4"/>
      <c r="G28" s="4"/>
      <c r="H28" s="4"/>
    </row>
    <row r="29" spans="2:8" x14ac:dyDescent="0.3">
      <c r="B29" s="4"/>
      <c r="C29" s="4"/>
      <c r="D29" s="4"/>
      <c r="E29" s="4"/>
      <c r="F29" s="4"/>
      <c r="G29" s="4"/>
      <c r="H29" s="4"/>
    </row>
    <row r="30" spans="2:8" x14ac:dyDescent="0.3">
      <c r="B30" s="4"/>
      <c r="C30" s="4"/>
      <c r="D30" s="4"/>
      <c r="E30" s="4"/>
      <c r="F30" s="4"/>
      <c r="G30" s="4"/>
      <c r="H30" s="4"/>
    </row>
    <row r="31" spans="2:8" x14ac:dyDescent="0.3">
      <c r="B31" s="4"/>
      <c r="C31" s="4"/>
      <c r="D31" s="4"/>
      <c r="E31" s="4"/>
      <c r="F31" s="4"/>
      <c r="G31" s="4"/>
      <c r="H31" s="4"/>
    </row>
    <row r="32" spans="2:8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4"/>
      <c r="C33" s="4"/>
      <c r="D33" s="4"/>
      <c r="E33" s="4"/>
      <c r="F33" s="4"/>
      <c r="G33" s="4"/>
      <c r="H33" s="4"/>
    </row>
    <row r="34" spans="2:8" x14ac:dyDescent="0.3">
      <c r="B34" s="4"/>
      <c r="C34" s="4"/>
      <c r="D34" s="4"/>
      <c r="E34" s="4"/>
      <c r="F34" s="4"/>
      <c r="G34" s="4"/>
      <c r="H34" s="4"/>
    </row>
    <row r="35" spans="2:8" x14ac:dyDescent="0.3">
      <c r="B35" s="4"/>
      <c r="C35" s="4"/>
      <c r="D35" s="4"/>
      <c r="E35" s="4"/>
      <c r="F35" s="4"/>
      <c r="G35" s="4"/>
      <c r="H35" s="4"/>
    </row>
    <row r="36" spans="2:8" x14ac:dyDescent="0.3">
      <c r="B36" s="4"/>
      <c r="C36" s="4"/>
      <c r="D36" s="4"/>
      <c r="E36" s="4"/>
      <c r="F36" s="4"/>
      <c r="G36" s="4"/>
      <c r="H36" s="4"/>
    </row>
    <row r="37" spans="2:8" x14ac:dyDescent="0.3">
      <c r="B37" s="4"/>
      <c r="C37" s="4"/>
      <c r="D37" s="4"/>
      <c r="E37" s="4"/>
      <c r="F37" s="4"/>
      <c r="G37" s="4"/>
      <c r="H37" s="4"/>
    </row>
    <row r="38" spans="2:8" x14ac:dyDescent="0.3">
      <c r="B38" s="4"/>
      <c r="C38" s="4"/>
      <c r="D38" s="4"/>
      <c r="E38" s="4"/>
      <c r="F38" s="4"/>
      <c r="G38" s="4"/>
      <c r="H38" s="4"/>
    </row>
    <row r="39" spans="2:8" x14ac:dyDescent="0.3">
      <c r="B39" s="4"/>
      <c r="C39" s="4"/>
      <c r="D39" s="4"/>
      <c r="E39" s="4"/>
      <c r="F39" s="4"/>
      <c r="G39" s="4"/>
      <c r="H39" s="4"/>
    </row>
    <row r="40" spans="2:8" x14ac:dyDescent="0.3">
      <c r="B40" s="4"/>
      <c r="C40" s="4"/>
      <c r="D40" s="4"/>
      <c r="E40" s="4"/>
      <c r="F40" s="4"/>
      <c r="G40" s="4"/>
      <c r="H40" s="4"/>
    </row>
    <row r="41" spans="2:8" x14ac:dyDescent="0.3">
      <c r="B41" s="4"/>
      <c r="C41" s="4"/>
      <c r="D41" s="4"/>
      <c r="E41" s="4"/>
      <c r="F41" s="4"/>
      <c r="G41" s="4"/>
      <c r="H41" s="4"/>
    </row>
    <row r="42" spans="2:8" x14ac:dyDescent="0.3">
      <c r="B42" s="4"/>
      <c r="C42" s="4"/>
      <c r="D42" s="4"/>
      <c r="E42" s="4"/>
      <c r="F42" s="4"/>
      <c r="G42" s="4"/>
      <c r="H42" s="4"/>
    </row>
    <row r="43" spans="2:8" x14ac:dyDescent="0.3">
      <c r="B43" s="4"/>
      <c r="C43" s="4"/>
      <c r="D43" s="4"/>
      <c r="E43" s="4"/>
      <c r="F43" s="4"/>
      <c r="G43" s="4"/>
      <c r="H43" s="4"/>
    </row>
    <row r="44" spans="2:8" x14ac:dyDescent="0.3">
      <c r="B44" s="4"/>
      <c r="C44" s="4"/>
      <c r="D44" s="4"/>
      <c r="E44" s="4"/>
      <c r="F44" s="4"/>
      <c r="G44" s="4"/>
      <c r="H44" s="4"/>
    </row>
    <row r="45" spans="2:8" x14ac:dyDescent="0.3">
      <c r="B45" s="4"/>
      <c r="C45" s="4"/>
      <c r="D45" s="4"/>
      <c r="E45" s="4"/>
      <c r="F45" s="4"/>
      <c r="G45" s="4"/>
      <c r="H45" s="4"/>
    </row>
    <row r="46" spans="2:8" x14ac:dyDescent="0.3">
      <c r="B46" s="4"/>
      <c r="C46" s="4"/>
      <c r="D46" s="4"/>
      <c r="E46" s="4"/>
      <c r="F46" s="4"/>
      <c r="G46" s="4"/>
      <c r="H46" s="4"/>
    </row>
    <row r="47" spans="2:8" x14ac:dyDescent="0.3">
      <c r="B47" s="4"/>
      <c r="C47" s="4"/>
      <c r="D47" s="4"/>
      <c r="E47" s="4"/>
      <c r="F47" s="4"/>
      <c r="G47" s="4"/>
      <c r="H47" s="4"/>
    </row>
    <row r="48" spans="2:8" x14ac:dyDescent="0.3">
      <c r="B48" s="44"/>
      <c r="C48" s="44"/>
      <c r="D48" s="44"/>
      <c r="E48" s="44"/>
      <c r="F48" s="44"/>
      <c r="G48" s="44"/>
      <c r="H48" s="44"/>
    </row>
    <row r="49" spans="2:8" x14ac:dyDescent="0.3">
      <c r="B49" s="44"/>
      <c r="C49" s="44"/>
      <c r="D49" s="44"/>
      <c r="E49" s="44"/>
      <c r="F49" s="44"/>
      <c r="G49" s="44"/>
      <c r="H49" s="44"/>
    </row>
  </sheetData>
  <mergeCells count="5">
    <mergeCell ref="B48:H49"/>
    <mergeCell ref="B2:H2"/>
    <mergeCell ref="B21:H21"/>
    <mergeCell ref="B22:H22"/>
    <mergeCell ref="B23:H2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 differentFirs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B2:AP50"/>
  <sheetViews>
    <sheetView tabSelected="1" topLeftCell="A4" zoomScale="85" zoomScaleNormal="85" zoomScaleSheetLayoutView="100" workbookViewId="0">
      <selection activeCell="S29" sqref="S29"/>
    </sheetView>
  </sheetViews>
  <sheetFormatPr defaultColWidth="8.88671875" defaultRowHeight="14.4" x14ac:dyDescent="0.3"/>
  <cols>
    <col min="1" max="1" width="10.109375" style="3" customWidth="1"/>
    <col min="2" max="15" width="6.44140625" style="3" customWidth="1"/>
    <col min="16" max="16384" width="8.88671875" style="3"/>
  </cols>
  <sheetData>
    <row r="2" spans="2:42" ht="30" customHeight="1" x14ac:dyDescent="0.3">
      <c r="B2" s="51" t="s">
        <v>43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2:42" ht="14.4" customHeigh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 spans="2:42" ht="14.4" customHeight="1" x14ac:dyDescent="0.3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 spans="2:42" ht="14.4" customHeight="1" x14ac:dyDescent="0.3"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Q5" s="24" t="s">
        <v>24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</row>
    <row r="6" spans="2:42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Q6" s="20" t="s">
        <v>17</v>
      </c>
      <c r="R6" s="20">
        <v>1</v>
      </c>
      <c r="S6" s="20">
        <v>1.5</v>
      </c>
      <c r="T6" s="20">
        <v>2</v>
      </c>
      <c r="U6" s="20">
        <v>2.5</v>
      </c>
      <c r="V6" s="20">
        <v>3</v>
      </c>
      <c r="W6" s="20">
        <v>3.5</v>
      </c>
      <c r="X6" s="20">
        <v>4</v>
      </c>
      <c r="Y6" s="20">
        <v>4.5</v>
      </c>
      <c r="Z6" s="20">
        <v>5</v>
      </c>
      <c r="AA6" s="20">
        <v>5.5</v>
      </c>
      <c r="AB6" s="20">
        <v>6</v>
      </c>
      <c r="AC6" s="20">
        <v>6.5</v>
      </c>
      <c r="AD6" s="20">
        <v>7</v>
      </c>
      <c r="AE6" s="20">
        <v>7.5</v>
      </c>
      <c r="AF6" s="20">
        <v>8</v>
      </c>
      <c r="AG6" s="20">
        <v>8.5</v>
      </c>
      <c r="AH6" s="20">
        <v>9</v>
      </c>
      <c r="AI6" s="20">
        <v>9.5</v>
      </c>
      <c r="AJ6" s="20">
        <v>10</v>
      </c>
      <c r="AK6" s="20">
        <v>10.5</v>
      </c>
      <c r="AL6" s="20">
        <v>11</v>
      </c>
      <c r="AM6" s="20">
        <v>11.5</v>
      </c>
      <c r="AN6" s="20">
        <v>12</v>
      </c>
      <c r="AO6" s="20">
        <v>12.5</v>
      </c>
      <c r="AP6" s="20">
        <v>13</v>
      </c>
    </row>
    <row r="7" spans="2:42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Q7" s="28" t="s">
        <v>44</v>
      </c>
      <c r="R7" s="20">
        <v>1</v>
      </c>
      <c r="S7" s="20">
        <f>(R7+T7)/2</f>
        <v>2.2000000000000002</v>
      </c>
      <c r="T7" s="20">
        <v>3.4</v>
      </c>
      <c r="U7" s="20">
        <f>(T7+V7)/2</f>
        <v>4.8499999999999996</v>
      </c>
      <c r="V7" s="20">
        <v>6.3</v>
      </c>
      <c r="W7" s="20">
        <f>(V7+X7)/2</f>
        <v>8.4499999999999993</v>
      </c>
      <c r="X7" s="20">
        <v>10.6</v>
      </c>
      <c r="Y7" s="20">
        <f>(X7+Z7)/2</f>
        <v>11.95</v>
      </c>
      <c r="Z7" s="20">
        <v>13.3</v>
      </c>
      <c r="AA7" s="20">
        <f>(Z7+AB7)/2</f>
        <v>14.3</v>
      </c>
      <c r="AB7" s="20">
        <v>15.3</v>
      </c>
      <c r="AC7" s="20">
        <f>(AB7+AD7)/2</f>
        <v>16.25</v>
      </c>
      <c r="AD7" s="20">
        <v>17.2</v>
      </c>
      <c r="AE7" s="20">
        <f>(AD7+AF7)/2</f>
        <v>18.25</v>
      </c>
      <c r="AF7" s="20">
        <v>19.3</v>
      </c>
      <c r="AG7" s="20">
        <f>(AF7+AH7)/2</f>
        <v>19.899999999999999</v>
      </c>
      <c r="AH7" s="20">
        <v>20.5</v>
      </c>
      <c r="AI7" s="20">
        <f>(AH7+AJ7)/2</f>
        <v>20.85</v>
      </c>
      <c r="AJ7" s="20">
        <v>21.2</v>
      </c>
      <c r="AK7" s="20">
        <f>(AJ7+AL7)/2</f>
        <v>21.95</v>
      </c>
      <c r="AL7" s="20">
        <v>22.7</v>
      </c>
      <c r="AM7" s="20">
        <f>(AL7+AN7)/2</f>
        <v>24.35</v>
      </c>
      <c r="AN7" s="20">
        <v>26</v>
      </c>
      <c r="AO7" s="20">
        <f>(AN7+80)/2</f>
        <v>53</v>
      </c>
      <c r="AP7" s="20"/>
    </row>
    <row r="8" spans="2:42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Q8" s="28" t="s">
        <v>51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>
        <v>53</v>
      </c>
      <c r="AP8" s="20">
        <v>1000</v>
      </c>
    </row>
    <row r="9" spans="2:42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Q9" s="29" t="s">
        <v>45</v>
      </c>
      <c r="R9" s="20">
        <v>20.7</v>
      </c>
      <c r="S9" s="20">
        <f>(R9+T9)/2</f>
        <v>22.5</v>
      </c>
      <c r="T9" s="20">
        <v>24.3</v>
      </c>
      <c r="U9" s="20">
        <f>(T9+V9)/2</f>
        <v>27.200000000000003</v>
      </c>
      <c r="V9" s="20">
        <v>30.1</v>
      </c>
      <c r="W9" s="20">
        <f>(V9+X9)/2</f>
        <v>34.299999999999997</v>
      </c>
      <c r="X9" s="20">
        <v>38.5</v>
      </c>
      <c r="Y9" s="20">
        <f>(X9+Z9)/2</f>
        <v>42.1</v>
      </c>
      <c r="Z9" s="20">
        <v>45.7</v>
      </c>
      <c r="AA9" s="20">
        <f>(Z9+AB9)/2</f>
        <v>48.95</v>
      </c>
      <c r="AB9" s="20">
        <v>52.2</v>
      </c>
      <c r="AC9" s="20">
        <f>(AB9+AD9)/2</f>
        <v>54.75</v>
      </c>
      <c r="AD9" s="20">
        <v>57.3</v>
      </c>
      <c r="AE9" s="20">
        <f>(AD9+AF9)/2</f>
        <v>59.4</v>
      </c>
      <c r="AF9" s="20">
        <v>61.5</v>
      </c>
      <c r="AG9" s="20">
        <f>(AF9+AH9)/2</f>
        <v>64.3</v>
      </c>
      <c r="AH9" s="20">
        <v>67.099999999999994</v>
      </c>
      <c r="AI9" s="20">
        <f>(AH9+AJ9)/2</f>
        <v>69.199999999999989</v>
      </c>
      <c r="AJ9" s="20">
        <v>71.3</v>
      </c>
      <c r="AK9" s="20">
        <f>(AJ9+AL9)/2</f>
        <v>72.449999999999989</v>
      </c>
      <c r="AL9" s="20">
        <v>73.599999999999994</v>
      </c>
      <c r="AM9" s="20">
        <f>(AL9+AN9)/2</f>
        <v>76.650000000000006</v>
      </c>
      <c r="AN9" s="20">
        <v>79.7</v>
      </c>
      <c r="AO9" s="20">
        <f>(AN9+160)/2</f>
        <v>119.85</v>
      </c>
      <c r="AP9" s="20"/>
    </row>
    <row r="10" spans="2:42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Q10" s="29" t="s">
        <v>52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>
        <v>119.9</v>
      </c>
      <c r="AP10" s="20">
        <v>1000</v>
      </c>
    </row>
    <row r="11" spans="2:42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Q11" s="29" t="s">
        <v>32</v>
      </c>
      <c r="R11" s="20">
        <v>0.12478517113717086</v>
      </c>
      <c r="S11" s="20">
        <f>(R11+T11)/2</f>
        <v>0.16506913487801825</v>
      </c>
      <c r="T11" s="20">
        <v>0.20535309861886564</v>
      </c>
      <c r="U11" s="20">
        <f>(T11+V11)/2</f>
        <v>0.41833521852123923</v>
      </c>
      <c r="V11" s="20">
        <v>0.63131733842361282</v>
      </c>
      <c r="W11" s="20">
        <f>(V11+X11)/2</f>
        <v>0.92729548326752176</v>
      </c>
      <c r="X11" s="20">
        <v>1.2232736281114307</v>
      </c>
      <c r="Y11" s="20">
        <f>(X11+Z11)/2</f>
        <v>1.5331236159801087</v>
      </c>
      <c r="Z11" s="20">
        <v>1.8429736038487867</v>
      </c>
      <c r="AA11" s="20">
        <f>(Z11+AB11)/2</f>
        <v>2.1181492021286941</v>
      </c>
      <c r="AB11" s="20">
        <v>2.3933248004086014</v>
      </c>
      <c r="AC11" s="20">
        <f>(AB11+AD11)/2</f>
        <v>2.6058577257894231</v>
      </c>
      <c r="AD11" s="20">
        <v>2.8183906511702448</v>
      </c>
      <c r="AE11" s="20">
        <f>(AD11+AF11)/2</f>
        <v>2.9608905696448922</v>
      </c>
      <c r="AF11" s="20">
        <v>3.1033904881195395</v>
      </c>
      <c r="AG11" s="20">
        <f>(AF11+AH11)/2</f>
        <v>3.1890450149841509</v>
      </c>
      <c r="AH11" s="20">
        <v>3.2746995418487623</v>
      </c>
      <c r="AI11" s="20">
        <f>(AH11+AJ11)/2</f>
        <v>3.3372742417026902</v>
      </c>
      <c r="AJ11" s="20">
        <v>3.399848941556618</v>
      </c>
      <c r="AK11" s="20">
        <f>(AJ11+AL11)/2</f>
        <v>3.4936873283024612</v>
      </c>
      <c r="AL11" s="20">
        <v>3.5875257150483044</v>
      </c>
      <c r="AM11" s="20">
        <f>(AL11+AN11)/2</f>
        <v>3.7875492518918703</v>
      </c>
      <c r="AN11" s="20">
        <v>3.9875727887354362</v>
      </c>
      <c r="AO11" s="20">
        <f>(AN11+16)/2</f>
        <v>9.9937863943677172</v>
      </c>
      <c r="AP11" s="20"/>
    </row>
    <row r="12" spans="2:42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Q12" s="29" t="s">
        <v>53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>
        <v>10</v>
      </c>
      <c r="AP12" s="20">
        <v>1000</v>
      </c>
    </row>
    <row r="13" spans="2:42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Q13" s="29" t="s">
        <v>33</v>
      </c>
      <c r="R13" s="20">
        <v>0</v>
      </c>
      <c r="S13" s="20">
        <f>(R13+T13)/2</f>
        <v>0</v>
      </c>
      <c r="T13" s="20">
        <v>0</v>
      </c>
      <c r="U13" s="20">
        <f>(T13+V13)/2</f>
        <v>0</v>
      </c>
      <c r="V13" s="20">
        <v>0</v>
      </c>
      <c r="W13" s="20">
        <f>(V13+X13)/2</f>
        <v>0</v>
      </c>
      <c r="X13" s="20">
        <v>0</v>
      </c>
      <c r="Y13" s="20">
        <f>(X13+Z13)/2</f>
        <v>0</v>
      </c>
      <c r="Z13" s="20">
        <v>0</v>
      </c>
      <c r="AA13" s="20">
        <f>(Z13+AB13)/2</f>
        <v>0</v>
      </c>
      <c r="AB13" s="20">
        <v>0</v>
      </c>
      <c r="AC13" s="20">
        <f>(AB13+AD13)/2</f>
        <v>0</v>
      </c>
      <c r="AD13" s="20">
        <v>0</v>
      </c>
      <c r="AE13" s="20">
        <f>(AD13+AF13)/2</f>
        <v>0.53511624259041213</v>
      </c>
      <c r="AF13" s="20">
        <v>1.0702324851808243</v>
      </c>
      <c r="AG13" s="20">
        <f>(AF13+AH13)/2</f>
        <v>1.1178732386812733</v>
      </c>
      <c r="AH13" s="20">
        <v>1.1655139921817224</v>
      </c>
      <c r="AI13" s="20">
        <f>(AH13+AJ13)/2</f>
        <v>1.1882011349201216</v>
      </c>
      <c r="AJ13" s="20">
        <v>1.2108882776585208</v>
      </c>
      <c r="AK13" s="20">
        <f>(AJ13+AL13)/2</f>
        <v>1.4158346680435132</v>
      </c>
      <c r="AL13" s="20">
        <v>1.6207810584285056</v>
      </c>
      <c r="AM13" s="20">
        <f>(AL13+AN13)/2</f>
        <v>4.2080984999673134</v>
      </c>
      <c r="AN13" s="20">
        <v>6.7954159415061213</v>
      </c>
      <c r="AO13" s="20">
        <f>(AN13+32)/2</f>
        <v>19.397707970753061</v>
      </c>
      <c r="AP13" s="20"/>
    </row>
    <row r="14" spans="2:42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Q14" s="29" t="s">
        <v>54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>
        <v>19.399999999999999</v>
      </c>
      <c r="AP14" s="20">
        <v>1000</v>
      </c>
    </row>
    <row r="15" spans="2:42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42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Q16" s="29" t="s">
        <v>50</v>
      </c>
      <c r="R16" s="36">
        <v>30</v>
      </c>
      <c r="S16" s="36">
        <f t="shared" ref="S16:AP16" si="0">$R$16</f>
        <v>30</v>
      </c>
      <c r="T16" s="36">
        <f>$R$16</f>
        <v>30</v>
      </c>
      <c r="U16" s="36">
        <f t="shared" ref="U16:AP16" si="1">$R$16</f>
        <v>30</v>
      </c>
      <c r="V16" s="36">
        <f t="shared" si="1"/>
        <v>30</v>
      </c>
      <c r="W16" s="36">
        <f t="shared" si="1"/>
        <v>30</v>
      </c>
      <c r="X16" s="36">
        <f t="shared" si="1"/>
        <v>30</v>
      </c>
      <c r="Y16" s="36">
        <f t="shared" si="1"/>
        <v>30</v>
      </c>
      <c r="Z16" s="36">
        <f t="shared" si="1"/>
        <v>30</v>
      </c>
      <c r="AA16" s="36">
        <f t="shared" si="1"/>
        <v>30</v>
      </c>
      <c r="AB16" s="36">
        <f t="shared" si="1"/>
        <v>30</v>
      </c>
      <c r="AC16" s="36">
        <f t="shared" si="1"/>
        <v>30</v>
      </c>
      <c r="AD16" s="36">
        <f t="shared" si="1"/>
        <v>30</v>
      </c>
      <c r="AE16" s="36">
        <f t="shared" si="1"/>
        <v>30</v>
      </c>
      <c r="AF16" s="36">
        <f t="shared" si="1"/>
        <v>30</v>
      </c>
      <c r="AG16" s="36">
        <f t="shared" si="1"/>
        <v>30</v>
      </c>
      <c r="AH16" s="36">
        <f t="shared" si="1"/>
        <v>30</v>
      </c>
      <c r="AI16" s="36">
        <f t="shared" si="1"/>
        <v>30</v>
      </c>
      <c r="AJ16" s="36">
        <f t="shared" si="1"/>
        <v>30</v>
      </c>
      <c r="AK16" s="36">
        <f t="shared" si="1"/>
        <v>30</v>
      </c>
      <c r="AL16" s="36">
        <f t="shared" si="1"/>
        <v>30</v>
      </c>
      <c r="AM16" s="36">
        <f t="shared" si="1"/>
        <v>30</v>
      </c>
      <c r="AN16" s="36">
        <f t="shared" si="1"/>
        <v>30</v>
      </c>
      <c r="AO16" s="36">
        <f t="shared" si="1"/>
        <v>30</v>
      </c>
      <c r="AP16" s="36">
        <f t="shared" si="1"/>
        <v>30</v>
      </c>
    </row>
    <row r="17" spans="2:15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ht="14.4" customHeight="1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ht="14.4" customHeight="1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ht="14.4" customHeight="1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ht="14.4" customHeight="1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ht="14.4" customHeight="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ht="14.4" customHeight="1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ht="14.4" customHeight="1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ht="14.4" customHeight="1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25" ht="14.4" customHeight="1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25" ht="14.4" customHeight="1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25" ht="14.4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25" ht="14.4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25" ht="14.4" customHeight="1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25" ht="14.4" customHeight="1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25" ht="15" customHeight="1" x14ac:dyDescent="0.3">
      <c r="B39" s="27" t="s">
        <v>17</v>
      </c>
      <c r="C39" s="27">
        <v>1</v>
      </c>
      <c r="D39" s="27">
        <v>2</v>
      </c>
      <c r="E39" s="27">
        <v>3</v>
      </c>
      <c r="F39" s="27">
        <v>4</v>
      </c>
      <c r="G39" s="27">
        <v>5</v>
      </c>
      <c r="H39" s="27">
        <v>6</v>
      </c>
      <c r="I39" s="27">
        <v>7</v>
      </c>
      <c r="J39" s="27">
        <v>8</v>
      </c>
      <c r="K39" s="27">
        <v>9</v>
      </c>
      <c r="L39" s="27">
        <v>10</v>
      </c>
      <c r="M39" s="27">
        <v>11</v>
      </c>
      <c r="N39" s="27">
        <v>12</v>
      </c>
      <c r="O39" s="27">
        <v>13</v>
      </c>
    </row>
    <row r="40" spans="2:25" x14ac:dyDescent="0.3">
      <c r="B40" s="38" t="s">
        <v>44</v>
      </c>
      <c r="C40" s="20">
        <f t="shared" ref="C40" si="2">IF(R7="","-",R7)</f>
        <v>1</v>
      </c>
      <c r="D40" s="20">
        <f>IF(T7="","-",T7)</f>
        <v>3.4</v>
      </c>
      <c r="E40" s="20">
        <f>IF(V7="","-",V7)</f>
        <v>6.3</v>
      </c>
      <c r="F40" s="20">
        <f>IF(X7="","-",X7)</f>
        <v>10.6</v>
      </c>
      <c r="G40" s="20">
        <f>IF(Z7="","-",Z7)</f>
        <v>13.3</v>
      </c>
      <c r="H40" s="20">
        <f>IF(AB7="","-",AB7)</f>
        <v>15.3</v>
      </c>
      <c r="I40" s="20">
        <f>IF(AD7="","-",AD7)</f>
        <v>17.2</v>
      </c>
      <c r="J40" s="20">
        <f>IF(AF7="","-",AF7)</f>
        <v>19.3</v>
      </c>
      <c r="K40" s="20">
        <f>IF(AH7="","-",AH7)</f>
        <v>20.5</v>
      </c>
      <c r="L40" s="20">
        <f>IF(AJ7="","-",AJ7)</f>
        <v>21.2</v>
      </c>
      <c r="M40" s="20">
        <f>IF(AL7="","-",AL7)</f>
        <v>22.7</v>
      </c>
      <c r="N40" s="20">
        <f>IF(AN7="","-",AN7)</f>
        <v>26</v>
      </c>
      <c r="O40" s="20" t="str">
        <f>IF(AP7="","-",AP7)</f>
        <v>-</v>
      </c>
    </row>
    <row r="41" spans="2:25" x14ac:dyDescent="0.3">
      <c r="B41" s="28" t="s">
        <v>45</v>
      </c>
      <c r="C41" s="20">
        <f t="shared" ref="C41" si="3">IF(R9="","-",R9)</f>
        <v>20.7</v>
      </c>
      <c r="D41" s="20">
        <f>IF(T9="","-",T9)</f>
        <v>24.3</v>
      </c>
      <c r="E41" s="20">
        <f>IF(V9="","-",V9)</f>
        <v>30.1</v>
      </c>
      <c r="F41" s="20">
        <f>IF(X9="","-",X9)</f>
        <v>38.5</v>
      </c>
      <c r="G41" s="20">
        <f>IF(Z9="","-",Z9)</f>
        <v>45.7</v>
      </c>
      <c r="H41" s="20">
        <f>IF(AB9="","-",AB9)</f>
        <v>52.2</v>
      </c>
      <c r="I41" s="20">
        <f>IF(AD9="","-",AD9)</f>
        <v>57.3</v>
      </c>
      <c r="J41" s="20">
        <f>IF(AF9="","-",AF9)</f>
        <v>61.5</v>
      </c>
      <c r="K41" s="20">
        <f>IF(AH9="","-",AH9)</f>
        <v>67.099999999999994</v>
      </c>
      <c r="L41" s="20">
        <f>IF(AJ9="","-",AJ9)</f>
        <v>71.3</v>
      </c>
      <c r="M41" s="20">
        <f>IF(AL9="","-",AL9)</f>
        <v>73.599999999999994</v>
      </c>
      <c r="N41" s="20">
        <f>IF(AN9="","-",AN9)</f>
        <v>79.7</v>
      </c>
      <c r="O41" s="20" t="str">
        <f>IF(AP9="","-",AP9)</f>
        <v>-</v>
      </c>
    </row>
    <row r="42" spans="2:25" x14ac:dyDescent="0.3">
      <c r="B42" s="29" t="s">
        <v>32</v>
      </c>
      <c r="C42" s="20">
        <f t="shared" ref="C42" si="4">IF(R11="","-",R11)</f>
        <v>0.12478517113717086</v>
      </c>
      <c r="D42" s="20">
        <f>IF(T11="","-",T11)</f>
        <v>0.20535309861886564</v>
      </c>
      <c r="E42" s="20">
        <f>IF(V11="","-",V11)</f>
        <v>0.63131733842361282</v>
      </c>
      <c r="F42" s="20">
        <f>IF(X11="","-",X11)</f>
        <v>1.2232736281114307</v>
      </c>
      <c r="G42" s="20">
        <f>IF(Z11="","-",Z11)</f>
        <v>1.8429736038487867</v>
      </c>
      <c r="H42" s="20">
        <f>IF(AB11="","-",AB11)</f>
        <v>2.3933248004086014</v>
      </c>
      <c r="I42" s="20">
        <f>IF(AD11="","-",AD11)</f>
        <v>2.8183906511702448</v>
      </c>
      <c r="J42" s="20">
        <f>IF(AF11="","-",AF11)</f>
        <v>3.1033904881195395</v>
      </c>
      <c r="K42" s="20">
        <f>IF(AH11="","-",AH11)</f>
        <v>3.2746995418487623</v>
      </c>
      <c r="L42" s="20">
        <f>IF(AJ11="","-",AJ11)</f>
        <v>3.399848941556618</v>
      </c>
      <c r="M42" s="20">
        <f>IF(AL11="","-",AL11)</f>
        <v>3.5875257150483044</v>
      </c>
      <c r="N42" s="20">
        <f>IF(AN11="","-",AN11)</f>
        <v>3.9875727887354362</v>
      </c>
      <c r="O42" s="20" t="str">
        <f>IF(AP11="","-",AP11)</f>
        <v>-</v>
      </c>
    </row>
    <row r="43" spans="2:25" x14ac:dyDescent="0.3">
      <c r="B43" s="29" t="s">
        <v>33</v>
      </c>
      <c r="C43" s="20">
        <f t="shared" ref="C43" si="5">IF(R13="","-",R13)</f>
        <v>0</v>
      </c>
      <c r="D43" s="20">
        <f>IF(T13="","-",T13)</f>
        <v>0</v>
      </c>
      <c r="E43" s="20">
        <f>IF(V13="","-",V13)</f>
        <v>0</v>
      </c>
      <c r="F43" s="20">
        <f>IF(X13="","-",X13)</f>
        <v>0</v>
      </c>
      <c r="G43" s="20">
        <f>IF(Z13="","-",Z13)</f>
        <v>0</v>
      </c>
      <c r="H43" s="20">
        <f>IF(AB13="","-",AB13)</f>
        <v>0</v>
      </c>
      <c r="I43" s="20">
        <f>IF(AD13="","-",AD13)</f>
        <v>0</v>
      </c>
      <c r="J43" s="20">
        <f>IF(AF13="","-",AF13)</f>
        <v>1.0702324851808243</v>
      </c>
      <c r="K43" s="20">
        <f>IF(AH13="","-",AH13)</f>
        <v>1.1655139921817224</v>
      </c>
      <c r="L43" s="20">
        <f>IF(AJ13="","-",AJ13)</f>
        <v>1.2108882776585208</v>
      </c>
      <c r="M43" s="20">
        <f>IF(AL13="","-",AL13)</f>
        <v>1.6207810584285056</v>
      </c>
      <c r="N43" s="20">
        <f>IF(AN13="","-",AN13)</f>
        <v>6.7954159415061213</v>
      </c>
      <c r="O43" s="20" t="str">
        <f>IF(AP13="","-",AP13)</f>
        <v>-</v>
      </c>
    </row>
    <row r="44" spans="2:25" ht="30" customHeight="1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2:25" ht="30" customHeight="1" x14ac:dyDescent="0.3">
      <c r="B45" s="51" t="s">
        <v>62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Q45" s="41" t="s">
        <v>57</v>
      </c>
      <c r="R45" s="41" t="s">
        <v>58</v>
      </c>
      <c r="S45" s="41"/>
      <c r="T45" s="42" t="s">
        <v>55</v>
      </c>
      <c r="U45" s="43"/>
      <c r="V45" s="42" t="s">
        <v>56</v>
      </c>
      <c r="W45" s="43"/>
      <c r="X45" s="42" t="s">
        <v>36</v>
      </c>
      <c r="Y45" s="43"/>
    </row>
    <row r="46" spans="2:25" ht="45" customHeight="1" x14ac:dyDescent="0.3">
      <c r="B46" s="52" t="s">
        <v>37</v>
      </c>
      <c r="C46" s="52"/>
      <c r="D46" s="52" t="s">
        <v>34</v>
      </c>
      <c r="E46" s="52"/>
      <c r="F46" s="52" t="s">
        <v>63</v>
      </c>
      <c r="G46" s="52"/>
      <c r="H46" s="52" t="s">
        <v>64</v>
      </c>
      <c r="I46" s="52"/>
      <c r="J46" s="52" t="s">
        <v>65</v>
      </c>
      <c r="K46" s="52"/>
      <c r="L46" s="52" t="s">
        <v>46</v>
      </c>
      <c r="M46" s="52"/>
      <c r="N46" s="52" t="s">
        <v>35</v>
      </c>
      <c r="O46" s="52"/>
    </row>
    <row r="47" spans="2:25" ht="30" customHeight="1" x14ac:dyDescent="0.3">
      <c r="B47" s="48"/>
      <c r="C47" s="48"/>
      <c r="D47" s="49"/>
      <c r="E47" s="49"/>
      <c r="F47" s="46"/>
      <c r="G47" s="46"/>
      <c r="H47" s="46"/>
      <c r="I47" s="46"/>
      <c r="J47" s="46"/>
      <c r="K47" s="46"/>
      <c r="L47" s="46"/>
      <c r="M47" s="46"/>
      <c r="N47" s="47"/>
      <c r="O47" s="47"/>
    </row>
    <row r="50" ht="30" customHeight="1" x14ac:dyDescent="0.3"/>
  </sheetData>
  <mergeCells count="17">
    <mergeCell ref="B4:O5"/>
    <mergeCell ref="B2:O2"/>
    <mergeCell ref="B45:O45"/>
    <mergeCell ref="B46:C46"/>
    <mergeCell ref="D46:E46"/>
    <mergeCell ref="F46:G46"/>
    <mergeCell ref="H46:I46"/>
    <mergeCell ref="J46:K46"/>
    <mergeCell ref="L46:M46"/>
    <mergeCell ref="N46:O46"/>
    <mergeCell ref="L47:M47"/>
    <mergeCell ref="N47:O47"/>
    <mergeCell ref="B47:C47"/>
    <mergeCell ref="D47:E47"/>
    <mergeCell ref="F47:G47"/>
    <mergeCell ref="H47:I47"/>
    <mergeCell ref="J47:K47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B2:M16"/>
  <sheetViews>
    <sheetView zoomScaleNormal="100" zoomScaleSheetLayoutView="100" workbookViewId="0"/>
  </sheetViews>
  <sheetFormatPr defaultColWidth="7.33203125" defaultRowHeight="14.4" x14ac:dyDescent="0.3"/>
  <cols>
    <col min="1" max="1" width="7.33203125" style="3"/>
    <col min="2" max="2" width="38.21875" style="6" customWidth="1"/>
    <col min="3" max="7" width="6.33203125" style="7" customWidth="1"/>
    <col min="8" max="8" width="6.33203125" style="8" customWidth="1"/>
    <col min="9" max="10" width="6.33203125" style="3" customWidth="1"/>
    <col min="11" max="16384" width="7.33203125" style="3"/>
  </cols>
  <sheetData>
    <row r="2" spans="2:13" ht="30" customHeight="1" x14ac:dyDescent="0.3">
      <c r="B2" s="51" t="s">
        <v>23</v>
      </c>
      <c r="C2" s="51"/>
      <c r="D2" s="51"/>
      <c r="E2" s="51"/>
      <c r="F2" s="51"/>
      <c r="G2" s="51"/>
      <c r="H2" s="51"/>
      <c r="I2" s="51"/>
      <c r="J2" s="51"/>
      <c r="L2" s="29" t="s">
        <v>30</v>
      </c>
      <c r="M2" s="29" t="s">
        <v>31</v>
      </c>
    </row>
    <row r="3" spans="2:13" ht="30" customHeight="1" x14ac:dyDescent="0.3">
      <c r="B3" s="16" t="s">
        <v>16</v>
      </c>
      <c r="C3" s="27"/>
      <c r="D3" s="27"/>
      <c r="E3" s="27"/>
      <c r="F3" s="27"/>
      <c r="G3" s="27"/>
      <c r="H3" s="27"/>
      <c r="I3" s="27"/>
      <c r="J3" s="27"/>
    </row>
    <row r="4" spans="2:13" x14ac:dyDescent="0.3">
      <c r="B4" s="17" t="s">
        <v>8</v>
      </c>
      <c r="C4" s="29"/>
      <c r="D4" s="29"/>
      <c r="E4" s="29"/>
      <c r="F4" s="29"/>
      <c r="G4" s="29"/>
      <c r="H4" s="29"/>
      <c r="I4" s="29"/>
      <c r="J4" s="29"/>
    </row>
    <row r="5" spans="2:13" x14ac:dyDescent="0.3">
      <c r="B5" s="17" t="s">
        <v>9</v>
      </c>
      <c r="C5" s="18"/>
      <c r="D5" s="18"/>
      <c r="E5" s="18"/>
      <c r="F5" s="18"/>
      <c r="G5" s="18"/>
      <c r="H5" s="18"/>
      <c r="I5" s="18"/>
      <c r="J5" s="18"/>
    </row>
    <row r="6" spans="2:13" x14ac:dyDescent="0.3">
      <c r="B6" s="17" t="s">
        <v>10</v>
      </c>
      <c r="C6" s="14"/>
      <c r="D6" s="14"/>
      <c r="E6" s="14"/>
      <c r="F6" s="14"/>
      <c r="G6" s="14"/>
      <c r="H6" s="14"/>
      <c r="I6" s="14"/>
      <c r="J6" s="14"/>
    </row>
    <row r="7" spans="2:13" x14ac:dyDescent="0.3">
      <c r="B7" s="17" t="s">
        <v>11</v>
      </c>
      <c r="C7" s="14"/>
      <c r="D7" s="14"/>
      <c r="E7" s="14"/>
      <c r="F7" s="14"/>
      <c r="G7" s="14"/>
      <c r="H7" s="14"/>
      <c r="I7" s="14"/>
      <c r="J7" s="14"/>
    </row>
    <row r="8" spans="2:13" x14ac:dyDescent="0.3">
      <c r="B8" s="17" t="s">
        <v>29</v>
      </c>
      <c r="C8" s="14"/>
      <c r="D8" s="14"/>
      <c r="E8" s="14"/>
      <c r="F8" s="14"/>
      <c r="G8" s="14"/>
      <c r="H8" s="14"/>
      <c r="I8" s="14"/>
      <c r="J8" s="14"/>
    </row>
    <row r="9" spans="2:13" x14ac:dyDescent="0.3">
      <c r="B9" s="17" t="s">
        <v>26</v>
      </c>
      <c r="C9" s="14"/>
      <c r="D9" s="14"/>
      <c r="E9" s="14"/>
      <c r="F9" s="14"/>
      <c r="G9" s="14"/>
      <c r="H9" s="14"/>
      <c r="I9" s="14"/>
      <c r="J9" s="14"/>
    </row>
    <row r="10" spans="2:13" x14ac:dyDescent="0.3">
      <c r="B10" s="17" t="s">
        <v>12</v>
      </c>
      <c r="C10" s="14"/>
      <c r="D10" s="14"/>
      <c r="E10" s="14"/>
      <c r="F10" s="14"/>
      <c r="G10" s="14"/>
      <c r="H10" s="14"/>
      <c r="I10" s="14"/>
      <c r="J10" s="14"/>
    </row>
    <row r="11" spans="2:13" x14ac:dyDescent="0.3">
      <c r="B11" s="17" t="s">
        <v>13</v>
      </c>
      <c r="C11" s="14"/>
      <c r="D11" s="14"/>
      <c r="E11" s="14"/>
      <c r="F11" s="14"/>
      <c r="G11" s="14"/>
      <c r="H11" s="14"/>
      <c r="I11" s="14"/>
      <c r="J11" s="14"/>
    </row>
    <row r="12" spans="2:13" x14ac:dyDescent="0.3">
      <c r="B12" s="17" t="s">
        <v>14</v>
      </c>
      <c r="C12" s="14"/>
      <c r="D12" s="14"/>
      <c r="E12" s="14"/>
      <c r="F12" s="14"/>
      <c r="G12" s="14"/>
      <c r="H12" s="14"/>
      <c r="I12" s="14"/>
      <c r="J12" s="14"/>
    </row>
    <row r="13" spans="2:13" x14ac:dyDescent="0.3">
      <c r="B13" s="17" t="s">
        <v>27</v>
      </c>
      <c r="C13" s="14"/>
      <c r="D13" s="14"/>
      <c r="E13" s="14"/>
      <c r="F13" s="14"/>
      <c r="G13" s="14"/>
      <c r="H13" s="14"/>
      <c r="I13" s="14"/>
      <c r="J13" s="14"/>
    </row>
    <row r="14" spans="2:13" x14ac:dyDescent="0.3">
      <c r="B14" s="17"/>
      <c r="C14" s="14"/>
      <c r="D14" s="14"/>
      <c r="E14" s="14"/>
      <c r="F14" s="14"/>
      <c r="G14" s="14"/>
      <c r="H14" s="15"/>
      <c r="I14" s="29"/>
      <c r="J14" s="29"/>
    </row>
    <row r="15" spans="2:13" ht="30" customHeight="1" x14ac:dyDescent="0.3">
      <c r="B15" s="16" t="s">
        <v>15</v>
      </c>
      <c r="C15" s="10"/>
      <c r="D15" s="10"/>
      <c r="E15" s="10"/>
      <c r="F15" s="10"/>
      <c r="G15" s="10"/>
      <c r="H15" s="19"/>
      <c r="I15" s="27"/>
      <c r="J15" s="27"/>
    </row>
    <row r="16" spans="2:13" x14ac:dyDescent="0.3">
      <c r="B16" s="17"/>
      <c r="C16" s="29"/>
      <c r="D16" s="29"/>
      <c r="E16" s="29"/>
      <c r="F16" s="29"/>
      <c r="G16" s="29"/>
      <c r="H16" s="29"/>
      <c r="I16" s="29"/>
      <c r="J16" s="29"/>
    </row>
  </sheetData>
  <mergeCells count="1">
    <mergeCell ref="B2:J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B2:H5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2" width="12.6640625" style="1" customWidth="1"/>
    <col min="3" max="4" width="12.6640625" style="2" customWidth="1"/>
    <col min="5" max="7" width="12.6640625" style="1" customWidth="1"/>
    <col min="8" max="8" width="12.6640625" style="23" customWidth="1"/>
    <col min="9" max="16384" width="8.88671875" style="1"/>
  </cols>
  <sheetData>
    <row r="2" spans="2:8" ht="30" customHeight="1" x14ac:dyDescent="0.3">
      <c r="B2" s="51" t="s">
        <v>22</v>
      </c>
      <c r="C2" s="51"/>
      <c r="D2" s="51"/>
      <c r="E2" s="51"/>
      <c r="F2" s="51"/>
      <c r="G2" s="51"/>
      <c r="H2" s="51"/>
    </row>
    <row r="3" spans="2:8" ht="30" customHeight="1" x14ac:dyDescent="0.3">
      <c r="B3" s="9" t="s">
        <v>2</v>
      </c>
      <c r="C3" s="10" t="s">
        <v>3</v>
      </c>
      <c r="D3" s="11" t="s">
        <v>18</v>
      </c>
      <c r="E3" s="9" t="s">
        <v>4</v>
      </c>
      <c r="F3" s="9" t="s">
        <v>5</v>
      </c>
      <c r="G3" s="12" t="s">
        <v>7</v>
      </c>
      <c r="H3" s="22" t="s">
        <v>6</v>
      </c>
    </row>
    <row r="4" spans="2:8" x14ac:dyDescent="0.3">
      <c r="B4" s="13"/>
      <c r="C4" s="14"/>
      <c r="D4" s="15"/>
      <c r="E4" s="21"/>
      <c r="F4" s="21"/>
      <c r="G4" s="21"/>
      <c r="H4" s="18"/>
    </row>
    <row r="5" spans="2:8" x14ac:dyDescent="0.3">
      <c r="B5" s="25"/>
      <c r="C5" s="14"/>
      <c r="D5" s="15"/>
      <c r="E5" s="25"/>
      <c r="F5" s="25"/>
      <c r="G5" s="25"/>
      <c r="H5" s="18"/>
    </row>
  </sheetData>
  <mergeCells count="1">
    <mergeCell ref="B2:H2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B2:T5"/>
  <sheetViews>
    <sheetView zoomScaleNormal="100" zoomScaleSheetLayoutView="100" workbookViewId="0"/>
  </sheetViews>
  <sheetFormatPr defaultColWidth="6.44140625" defaultRowHeight="14.4" x14ac:dyDescent="0.3"/>
  <cols>
    <col min="1" max="1" width="6.44140625" style="1"/>
    <col min="2" max="4" width="5.5546875" style="34" customWidth="1"/>
    <col min="5" max="7" width="5.5546875" style="35" customWidth="1"/>
    <col min="8" max="9" width="5.5546875" style="34" customWidth="1"/>
    <col min="10" max="12" width="5.5546875" style="35" customWidth="1"/>
    <col min="13" max="14" width="5.5546875" style="34" customWidth="1"/>
    <col min="15" max="17" width="5.5546875" style="35" customWidth="1"/>
    <col min="18" max="16384" width="6.44140625" style="1"/>
  </cols>
  <sheetData>
    <row r="2" spans="2:20" ht="30" customHeight="1" x14ac:dyDescent="0.3">
      <c r="B2" s="55" t="s">
        <v>28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S2" s="26" t="s">
        <v>0</v>
      </c>
      <c r="T2" s="26" t="s">
        <v>1</v>
      </c>
    </row>
    <row r="3" spans="2:20" ht="30" customHeight="1" x14ac:dyDescent="0.3">
      <c r="B3" s="33" t="s">
        <v>2</v>
      </c>
      <c r="C3" s="53"/>
      <c r="D3" s="54"/>
      <c r="E3" s="54"/>
      <c r="F3" s="54"/>
      <c r="G3" s="54"/>
      <c r="H3" s="53"/>
      <c r="I3" s="54"/>
      <c r="J3" s="54"/>
      <c r="K3" s="54"/>
      <c r="L3" s="54"/>
      <c r="M3" s="53"/>
      <c r="N3" s="54"/>
      <c r="O3" s="54"/>
      <c r="P3" s="54"/>
      <c r="Q3" s="54"/>
    </row>
    <row r="4" spans="2:20" x14ac:dyDescent="0.3">
      <c r="B4" s="30"/>
      <c r="C4" s="31"/>
      <c r="D4" s="30"/>
      <c r="E4" s="30"/>
      <c r="F4" s="30"/>
      <c r="G4" s="32"/>
      <c r="H4" s="31"/>
      <c r="I4" s="30"/>
      <c r="J4" s="30"/>
      <c r="K4" s="30"/>
      <c r="L4" s="32"/>
      <c r="M4" s="31"/>
      <c r="N4" s="30"/>
      <c r="O4" s="30"/>
      <c r="P4" s="30"/>
      <c r="Q4" s="32"/>
    </row>
    <row r="5" spans="2:20" x14ac:dyDescent="0.3">
      <c r="B5" s="30"/>
      <c r="C5" s="31"/>
      <c r="D5" s="30"/>
      <c r="E5" s="30"/>
      <c r="F5" s="30"/>
      <c r="G5" s="32"/>
      <c r="H5" s="31"/>
      <c r="I5" s="30"/>
      <c r="J5" s="30"/>
      <c r="K5" s="30"/>
      <c r="L5" s="32"/>
      <c r="M5" s="31"/>
      <c r="N5" s="30"/>
      <c r="O5" s="30"/>
      <c r="P5" s="30"/>
      <c r="Q5" s="32"/>
    </row>
  </sheetData>
  <mergeCells count="4">
    <mergeCell ref="H3:L3"/>
    <mergeCell ref="B2:Q2"/>
    <mergeCell ref="C3:G3"/>
    <mergeCell ref="M3:Q3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B2:O23"/>
  <sheetViews>
    <sheetView zoomScaleNormal="100" zoomScaleSheetLayoutView="100" workbookViewId="0"/>
  </sheetViews>
  <sheetFormatPr defaultColWidth="8.88671875" defaultRowHeight="14.4" x14ac:dyDescent="0.3"/>
  <cols>
    <col min="1" max="1" width="8.88671875" style="1"/>
    <col min="2" max="4" width="6.44140625" style="1" customWidth="1"/>
    <col min="5" max="6" width="6.44140625" style="2" customWidth="1"/>
    <col min="7" max="15" width="6.44140625" style="1" customWidth="1"/>
    <col min="16" max="16384" width="8.88671875" style="1"/>
  </cols>
  <sheetData>
    <row r="2" spans="2:15" ht="30" customHeight="1" x14ac:dyDescent="0.3">
      <c r="B2" s="51" t="s">
        <v>59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2:15" ht="30" customHeight="1" x14ac:dyDescent="0.3">
      <c r="B3" s="52" t="s">
        <v>38</v>
      </c>
      <c r="C3" s="52"/>
      <c r="D3" s="52" t="s">
        <v>37</v>
      </c>
      <c r="E3" s="52"/>
      <c r="F3" s="52"/>
      <c r="G3" s="64" t="s">
        <v>55</v>
      </c>
      <c r="H3" s="64"/>
      <c r="I3" s="64"/>
      <c r="J3" s="64" t="s">
        <v>56</v>
      </c>
      <c r="K3" s="64"/>
      <c r="L3" s="64"/>
      <c r="M3" s="64" t="s">
        <v>36</v>
      </c>
      <c r="N3" s="64"/>
      <c r="O3" s="64"/>
    </row>
    <row r="4" spans="2:15" ht="30" customHeight="1" x14ac:dyDescent="0.3">
      <c r="B4" s="52"/>
      <c r="C4" s="52"/>
      <c r="D4" s="52"/>
      <c r="E4" s="52"/>
      <c r="F4" s="52"/>
      <c r="G4" s="27" t="s">
        <v>17</v>
      </c>
      <c r="H4" s="27" t="s">
        <v>44</v>
      </c>
      <c r="I4" s="27" t="s">
        <v>45</v>
      </c>
      <c r="J4" s="27" t="s">
        <v>17</v>
      </c>
      <c r="K4" s="27" t="s">
        <v>44</v>
      </c>
      <c r="L4" s="27" t="s">
        <v>45</v>
      </c>
      <c r="M4" s="27" t="s">
        <v>17</v>
      </c>
      <c r="N4" s="27" t="s">
        <v>44</v>
      </c>
      <c r="O4" s="27" t="s">
        <v>45</v>
      </c>
    </row>
    <row r="5" spans="2:15" ht="30" customHeight="1" x14ac:dyDescent="0.3">
      <c r="B5" s="58" t="s">
        <v>39</v>
      </c>
      <c r="C5" s="58"/>
      <c r="D5" s="59" t="s">
        <v>60</v>
      </c>
      <c r="E5" s="59"/>
      <c r="F5" s="60"/>
      <c r="G5" s="29">
        <v>11</v>
      </c>
      <c r="H5" s="29">
        <v>40</v>
      </c>
      <c r="I5" s="40">
        <v>120</v>
      </c>
      <c r="J5" s="29">
        <v>12</v>
      </c>
      <c r="K5" s="29">
        <v>30</v>
      </c>
      <c r="L5" s="40">
        <v>100</v>
      </c>
      <c r="M5" s="29">
        <v>13</v>
      </c>
      <c r="N5" s="29">
        <v>25</v>
      </c>
      <c r="O5" s="29">
        <v>80</v>
      </c>
    </row>
    <row r="6" spans="2:15" ht="30" customHeight="1" x14ac:dyDescent="0.3">
      <c r="B6" s="58"/>
      <c r="C6" s="58"/>
      <c r="D6" s="61" t="s">
        <v>41</v>
      </c>
      <c r="E6" s="61"/>
      <c r="F6" s="62"/>
      <c r="G6" s="29">
        <v>10</v>
      </c>
      <c r="H6" s="29">
        <v>40</v>
      </c>
      <c r="I6" s="40">
        <v>120</v>
      </c>
      <c r="J6" s="29">
        <v>11</v>
      </c>
      <c r="K6" s="29">
        <v>40</v>
      </c>
      <c r="L6" s="40">
        <v>100</v>
      </c>
      <c r="M6" s="29">
        <v>12</v>
      </c>
      <c r="N6" s="29">
        <v>25</v>
      </c>
      <c r="O6" s="29">
        <v>80</v>
      </c>
    </row>
    <row r="7" spans="2:15" ht="30" customHeight="1" x14ac:dyDescent="0.3">
      <c r="B7" s="58" t="s">
        <v>40</v>
      </c>
      <c r="C7" s="58"/>
      <c r="D7" s="59" t="s">
        <v>42</v>
      </c>
      <c r="E7" s="59"/>
      <c r="F7" s="60"/>
      <c r="G7" s="29">
        <v>11</v>
      </c>
      <c r="H7" s="29">
        <v>40</v>
      </c>
      <c r="I7" s="40">
        <v>120</v>
      </c>
      <c r="J7" s="29">
        <v>12</v>
      </c>
      <c r="K7" s="29">
        <v>40</v>
      </c>
      <c r="L7" s="40">
        <v>100</v>
      </c>
      <c r="M7" s="29">
        <v>13</v>
      </c>
      <c r="N7" s="29">
        <v>25</v>
      </c>
      <c r="O7" s="29">
        <v>80</v>
      </c>
    </row>
    <row r="8" spans="2:15" ht="30" customHeight="1" x14ac:dyDescent="0.3">
      <c r="B8" s="58" t="s">
        <v>61</v>
      </c>
      <c r="C8" s="58"/>
      <c r="D8" s="59" t="s">
        <v>42</v>
      </c>
      <c r="E8" s="59"/>
      <c r="F8" s="60"/>
      <c r="G8" s="29">
        <v>6</v>
      </c>
      <c r="H8" s="29">
        <v>60</v>
      </c>
      <c r="I8" s="40">
        <v>150</v>
      </c>
      <c r="J8" s="29">
        <v>7</v>
      </c>
      <c r="K8" s="29">
        <v>60</v>
      </c>
      <c r="L8" s="40">
        <v>120</v>
      </c>
      <c r="M8" s="29">
        <v>8</v>
      </c>
      <c r="N8" s="29">
        <v>40</v>
      </c>
      <c r="O8" s="29">
        <v>90</v>
      </c>
    </row>
    <row r="9" spans="2:15" ht="15" customHeight="1" x14ac:dyDescent="0.3">
      <c r="B9" s="39"/>
      <c r="C9" s="39"/>
      <c r="D9" s="39"/>
      <c r="E9" s="14"/>
      <c r="F9" s="15"/>
      <c r="G9" s="39"/>
      <c r="H9" s="39"/>
      <c r="I9" s="39"/>
      <c r="J9" s="39"/>
      <c r="K9" s="39"/>
      <c r="L9" s="39"/>
      <c r="M9" s="39"/>
      <c r="N9" s="39"/>
      <c r="O9" s="39"/>
    </row>
    <row r="10" spans="2:15" ht="60" customHeight="1" x14ac:dyDescent="0.3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spans="2:15" x14ac:dyDescent="0.3">
      <c r="B11" s="29"/>
      <c r="C11" s="29"/>
      <c r="D11" s="29"/>
      <c r="E11" s="14"/>
      <c r="F11" s="15"/>
      <c r="G11" s="29"/>
      <c r="H11" s="29"/>
      <c r="I11" s="29"/>
      <c r="J11" s="29"/>
      <c r="K11" s="29"/>
      <c r="L11" s="29"/>
      <c r="M11" s="29"/>
      <c r="N11" s="29"/>
      <c r="O11" s="29"/>
    </row>
    <row r="12" spans="2:15" s="37" customFormat="1" ht="45" customHeight="1" x14ac:dyDescent="0.3">
      <c r="B12" s="56" t="s">
        <v>47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</row>
    <row r="13" spans="2:15" x14ac:dyDescent="0.3">
      <c r="B13" s="29"/>
      <c r="C13" s="29"/>
      <c r="D13" s="29"/>
      <c r="E13" s="14"/>
      <c r="F13" s="15"/>
      <c r="G13" s="29"/>
      <c r="H13" s="29"/>
      <c r="I13" s="29"/>
      <c r="J13" s="29"/>
      <c r="K13" s="29"/>
      <c r="L13" s="29"/>
      <c r="M13" s="29"/>
      <c r="N13" s="29"/>
      <c r="O13" s="29"/>
    </row>
    <row r="14" spans="2:15" ht="45" customHeight="1" x14ac:dyDescent="0.3">
      <c r="B14" s="56" t="s">
        <v>48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</row>
    <row r="15" spans="2:15" x14ac:dyDescent="0.3">
      <c r="B15" s="29"/>
      <c r="C15" s="29"/>
      <c r="D15" s="29"/>
      <c r="E15" s="14"/>
      <c r="F15" s="15"/>
      <c r="G15" s="29"/>
      <c r="H15" s="29"/>
      <c r="I15" s="29"/>
      <c r="J15" s="29"/>
      <c r="K15" s="29"/>
      <c r="L15" s="29"/>
      <c r="M15" s="29"/>
      <c r="N15" s="29"/>
      <c r="O15" s="29"/>
    </row>
    <row r="16" spans="2:15" ht="45" customHeight="1" x14ac:dyDescent="0.3">
      <c r="B16" s="56" t="s">
        <v>67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</row>
    <row r="17" spans="2:15" x14ac:dyDescent="0.3">
      <c r="B17" s="29"/>
      <c r="C17" s="29"/>
      <c r="D17" s="29"/>
      <c r="E17" s="14"/>
      <c r="F17" s="15"/>
      <c r="G17" s="29"/>
      <c r="H17" s="29"/>
      <c r="I17" s="29"/>
      <c r="J17" s="29"/>
      <c r="K17" s="29"/>
      <c r="L17" s="29"/>
      <c r="M17" s="29"/>
      <c r="N17" s="29"/>
      <c r="O17" s="29"/>
    </row>
    <row r="18" spans="2:15" ht="45" customHeight="1" x14ac:dyDescent="0.3">
      <c r="B18" s="56" t="s">
        <v>68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spans="2:15" x14ac:dyDescent="0.3">
      <c r="B19" s="29"/>
      <c r="C19" s="29"/>
      <c r="D19" s="29"/>
      <c r="E19" s="14"/>
      <c r="F19" s="15"/>
      <c r="G19" s="29"/>
      <c r="H19" s="29"/>
      <c r="I19" s="29"/>
      <c r="J19" s="29"/>
      <c r="K19" s="29"/>
      <c r="L19" s="29"/>
      <c r="M19" s="29"/>
      <c r="N19" s="29"/>
      <c r="O19" s="29"/>
    </row>
    <row r="20" spans="2:15" x14ac:dyDescent="0.3">
      <c r="B20" s="57" t="s">
        <v>49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</row>
    <row r="21" spans="2:15" ht="45" customHeight="1" x14ac:dyDescent="0.3">
      <c r="B21" s="29"/>
      <c r="C21" s="29"/>
      <c r="D21" s="29"/>
      <c r="E21" s="14"/>
      <c r="F21" s="15"/>
      <c r="G21" s="29"/>
      <c r="H21" s="29"/>
      <c r="I21" s="29"/>
      <c r="J21" s="29"/>
      <c r="K21" s="29"/>
      <c r="L21" s="29"/>
      <c r="M21" s="29"/>
      <c r="N21" s="29"/>
      <c r="O21" s="29"/>
    </row>
    <row r="22" spans="2:15" ht="150" customHeight="1" x14ac:dyDescent="0.3">
      <c r="B22" s="63" t="s">
        <v>66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</row>
    <row r="23" spans="2:15" x14ac:dyDescent="0.3">
      <c r="B23" s="29"/>
      <c r="C23" s="29"/>
      <c r="D23" s="29"/>
      <c r="E23" s="14"/>
      <c r="F23" s="15"/>
      <c r="G23" s="29"/>
      <c r="H23" s="29"/>
      <c r="I23" s="29"/>
      <c r="J23" s="29"/>
      <c r="K23" s="29"/>
      <c r="L23" s="29"/>
      <c r="M23" s="29"/>
      <c r="N23" s="29"/>
      <c r="O23" s="29"/>
    </row>
  </sheetData>
  <mergeCells count="20">
    <mergeCell ref="B22:O22"/>
    <mergeCell ref="G3:I3"/>
    <mergeCell ref="J3:L3"/>
    <mergeCell ref="M3:O3"/>
    <mergeCell ref="D3:F4"/>
    <mergeCell ref="B2:O2"/>
    <mergeCell ref="B18:O18"/>
    <mergeCell ref="B20:O20"/>
    <mergeCell ref="B16:O16"/>
    <mergeCell ref="B12:O12"/>
    <mergeCell ref="B14:O14"/>
    <mergeCell ref="B10:O10"/>
    <mergeCell ref="B3:C4"/>
    <mergeCell ref="B5:C6"/>
    <mergeCell ref="B7:C7"/>
    <mergeCell ref="B8:C8"/>
    <mergeCell ref="D5:F5"/>
    <mergeCell ref="D6:F6"/>
    <mergeCell ref="D7:F7"/>
    <mergeCell ref="D8:F8"/>
  </mergeCell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horizontalDpi="1200" verticalDpi="1200" r:id="rId1"/>
  <headerFooter>
    <oddFooter>&amp;C&amp;K0A2751&amp;P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9</vt:i4>
      </vt:variant>
    </vt:vector>
  </HeadingPairs>
  <TitlesOfParts>
    <vt:vector size="15" baseType="lpstr">
      <vt:lpstr>Титул</vt:lpstr>
      <vt:lpstr>Оценка</vt:lpstr>
      <vt:lpstr>Лифтовая группа</vt:lpstr>
      <vt:lpstr>Здание</vt:lpstr>
      <vt:lpstr>Пассажиропоток</vt:lpstr>
      <vt:lpstr>Критерии</vt:lpstr>
      <vt:lpstr>Здание!Заголовки_для_печати</vt:lpstr>
      <vt:lpstr>'Лифтовая группа'!Заголовки_для_печати</vt:lpstr>
      <vt:lpstr>Пассажиропоток!Заголовки_для_печати</vt:lpstr>
      <vt:lpstr>Здание!Область_печати</vt:lpstr>
      <vt:lpstr>Критерии!Область_печати</vt:lpstr>
      <vt:lpstr>'Лифтовая группа'!Область_печати</vt:lpstr>
      <vt:lpstr>Оценка!Область_печати</vt:lpstr>
      <vt:lpstr>Пассажиропоток!Область_печати</vt:lpstr>
      <vt:lpstr>Титул!Область_печати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cp:lastPrinted>2025-09-05T06:59:13Z</cp:lastPrinted>
  <dcterms:created xsi:type="dcterms:W3CDTF">2024-02-19T06:40:14Z</dcterms:created>
  <dcterms:modified xsi:type="dcterms:W3CDTF">2026-02-24T15:02:25Z</dcterms:modified>
</cp:coreProperties>
</file>